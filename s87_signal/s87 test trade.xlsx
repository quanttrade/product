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12FF7EB7-C170-464C-AF77-CE6DC288C7D0}" xr6:coauthVersionLast="47" xr6:coauthVersionMax="47" xr10:uidLastSave="{00000000-0000-0000-0000-000000000000}"/>
  <bookViews>
    <workbookView xWindow="0" yWindow="390" windowWidth="51600" windowHeight="21000" xr2:uid="{C15479C8-0F71-43F9-B61F-B26CB84F1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2" i="1" l="1" a="1"/>
  <c r="M132" i="1"/>
  <c r="M133" i="1" a="1"/>
  <c r="M133" i="1"/>
  <c r="M134" i="1" a="1"/>
  <c r="M134" i="1"/>
  <c r="M131" i="1" a="1"/>
  <c r="M131" i="1"/>
  <c r="M130" i="1" a="1"/>
  <c r="N131" i="1" l="1"/>
  <c r="N132" i="1"/>
  <c r="N133" i="1"/>
  <c r="N134" i="1"/>
  <c r="M130" i="1"/>
  <c r="M127" i="1" a="1"/>
  <c r="M127" i="1"/>
  <c r="M129" i="1" a="1"/>
  <c r="M129" i="1"/>
  <c r="M128" i="1" a="1"/>
  <c r="M128" i="1"/>
  <c r="M126" i="1" a="1"/>
  <c r="M126" i="1" l="1"/>
  <c r="M109" i="1" a="1"/>
  <c r="M109" i="1" l="1"/>
  <c r="M107" i="1" a="1"/>
  <c r="M107" i="1"/>
  <c r="M111" i="1" a="1"/>
  <c r="M111" i="1"/>
  <c r="M122" i="1" a="1"/>
  <c r="M122" i="1"/>
  <c r="M117" i="1" a="1"/>
  <c r="M117" i="1"/>
  <c r="M125" i="1" a="1"/>
  <c r="M125" i="1"/>
  <c r="M112" i="1" a="1"/>
  <c r="M112" i="1"/>
  <c r="M121" i="1" a="1"/>
  <c r="M121" i="1"/>
  <c r="M114" i="1" a="1"/>
  <c r="M114" i="1"/>
  <c r="M116" i="1" a="1"/>
  <c r="M116" i="1"/>
  <c r="M123" i="1" a="1"/>
  <c r="M123" i="1"/>
  <c r="M113" i="1" a="1"/>
  <c r="M113" i="1"/>
  <c r="M104" i="1" a="1"/>
  <c r="M104" i="1"/>
  <c r="M118" i="1" a="1"/>
  <c r="M118" i="1"/>
  <c r="M115" i="1" a="1"/>
  <c r="M115" i="1"/>
  <c r="M124" i="1" a="1"/>
  <c r="M124" i="1"/>
  <c r="M120" i="1" a="1"/>
  <c r="M120" i="1"/>
  <c r="M110" i="1" a="1"/>
  <c r="M110" i="1"/>
  <c r="M108" i="1" a="1"/>
  <c r="M108" i="1"/>
  <c r="M106" i="1" a="1"/>
  <c r="M106" i="1"/>
  <c r="M119" i="1" a="1"/>
  <c r="M119" i="1"/>
  <c r="M105" i="1" a="1"/>
  <c r="M105" i="1"/>
  <c r="M103" i="1" a="1"/>
  <c r="M103" i="1" l="1"/>
  <c r="S1" i="1" a="1"/>
  <c r="S1" i="1" l="1"/>
  <c r="M100" i="1" a="1"/>
  <c r="M100" i="1" l="1"/>
  <c r="M99" i="1" a="1"/>
  <c r="M99" i="1"/>
  <c r="M96" i="1" a="1"/>
  <c r="M96" i="1" l="1"/>
  <c r="M97" i="1" a="1"/>
  <c r="M97" i="1"/>
  <c r="M98" i="1" a="1"/>
  <c r="M98" i="1"/>
  <c r="M95" i="1" a="1"/>
  <c r="M95" i="1"/>
  <c r="M79" i="1" a="1"/>
  <c r="M79" i="1" l="1"/>
  <c r="M68" i="1" a="1"/>
  <c r="M68" i="1"/>
  <c r="M76" i="1" a="1"/>
  <c r="M76" i="1"/>
  <c r="M72" i="1" a="1"/>
  <c r="M72" i="1"/>
  <c r="M65" i="1" a="1"/>
  <c r="M65" i="1"/>
  <c r="M71" i="1" a="1"/>
  <c r="M71" i="1"/>
  <c r="M73" i="1" a="1"/>
  <c r="M73" i="1"/>
  <c r="M70" i="1" a="1"/>
  <c r="M70" i="1"/>
  <c r="M66" i="1" a="1"/>
  <c r="M66" i="1"/>
  <c r="M83" i="1" a="1"/>
  <c r="M83" i="1"/>
  <c r="M80" i="1" a="1"/>
  <c r="M80" i="1"/>
  <c r="M77" i="1" a="1"/>
  <c r="M77" i="1"/>
  <c r="M87" i="1" a="1"/>
  <c r="M87" i="1"/>
  <c r="M67" i="1" a="1"/>
  <c r="M67" i="1"/>
  <c r="M81" i="1" a="1"/>
  <c r="M81" i="1"/>
  <c r="M78" i="1" a="1"/>
  <c r="M78" i="1"/>
  <c r="M85" i="1" a="1"/>
  <c r="M85" i="1"/>
  <c r="M84" i="1" a="1"/>
  <c r="M84" i="1"/>
  <c r="M74" i="1" a="1"/>
  <c r="M74" i="1"/>
  <c r="M86" i="1" a="1"/>
  <c r="M86" i="1"/>
  <c r="M82" i="1" a="1"/>
  <c r="M82" i="1"/>
  <c r="M64" i="1" a="1"/>
  <c r="M64" i="1"/>
  <c r="M69" i="1" a="1"/>
  <c r="M69" i="1"/>
  <c r="M75" i="1" a="1"/>
  <c r="M75" i="1"/>
  <c r="M63" i="1" a="1"/>
  <c r="M63" i="1" l="1"/>
  <c r="M88" i="1" a="1"/>
  <c r="M88" i="1" l="1"/>
  <c r="M91" i="1" a="1"/>
  <c r="M91" i="1"/>
  <c r="M89" i="1" a="1"/>
  <c r="M89" i="1"/>
  <c r="M94" i="1" a="1"/>
  <c r="M94" i="1"/>
  <c r="M93" i="1" a="1"/>
  <c r="M93" i="1"/>
  <c r="M92" i="1" a="1"/>
  <c r="M92" i="1"/>
  <c r="M90" i="1" a="1"/>
  <c r="M90" i="1"/>
  <c r="P1" i="1" a="1"/>
  <c r="P1" i="1" l="1"/>
  <c r="M57" i="1" a="1"/>
  <c r="M57" i="1" l="1"/>
  <c r="M56" i="1" a="1"/>
  <c r="M56" i="1"/>
  <c r="M59" i="1" a="1"/>
  <c r="M59" i="1"/>
  <c r="M55" i="1" a="1"/>
  <c r="M55" i="1"/>
  <c r="M54" i="1" a="1"/>
  <c r="M54" i="1"/>
  <c r="M53" i="1" a="1"/>
  <c r="M53" i="1"/>
  <c r="M60" i="1" a="1"/>
  <c r="M60" i="1"/>
  <c r="M58" i="1" a="1"/>
  <c r="M58" i="1"/>
  <c r="M50" i="1" a="1"/>
  <c r="M50" i="1" l="1"/>
  <c r="M52" i="1" a="1"/>
  <c r="M52" i="1"/>
  <c r="M51" i="1" a="1"/>
  <c r="M51" i="1"/>
  <c r="M49" i="1" a="1"/>
  <c r="M49" i="1"/>
  <c r="M48" i="1" a="1"/>
  <c r="M48" i="1"/>
  <c r="M43" i="1" a="1"/>
  <c r="M43" i="1" l="1"/>
  <c r="M41" i="1" a="1"/>
  <c r="M41" i="1"/>
  <c r="M47" i="1" a="1"/>
  <c r="M47" i="1"/>
  <c r="M44" i="1" a="1"/>
  <c r="M44" i="1"/>
  <c r="M40" i="1" a="1"/>
  <c r="M40" i="1"/>
  <c r="M46" i="1" a="1"/>
  <c r="M46" i="1"/>
  <c r="M42" i="1" a="1"/>
  <c r="M42" i="1"/>
  <c r="M45" i="1" a="1"/>
  <c r="M45" i="1"/>
  <c r="M39" i="1" a="1"/>
  <c r="M39" i="1" l="1"/>
  <c r="M27" i="1" a="1"/>
  <c r="M27" i="1" l="1"/>
  <c r="M31" i="1" a="1"/>
  <c r="M31" i="1"/>
  <c r="M37" i="1" a="1"/>
  <c r="M37" i="1"/>
  <c r="M21" i="1" a="1"/>
  <c r="M21" i="1"/>
  <c r="M10" i="1" a="1"/>
  <c r="M10" i="1"/>
  <c r="M14" i="1" a="1"/>
  <c r="M14" i="1"/>
  <c r="M22" i="1" a="1"/>
  <c r="M22" i="1"/>
  <c r="M33" i="1" a="1"/>
  <c r="M33" i="1"/>
  <c r="M9" i="1" a="1"/>
  <c r="M9" i="1"/>
  <c r="M26" i="1" a="1"/>
  <c r="M26" i="1"/>
  <c r="M4" i="1" a="1"/>
  <c r="M4" i="1"/>
  <c r="M12" i="1" a="1"/>
  <c r="M12" i="1"/>
  <c r="M11" i="1" a="1"/>
  <c r="M11" i="1"/>
  <c r="M6" i="1" a="1"/>
  <c r="M6" i="1"/>
  <c r="M35" i="1" a="1"/>
  <c r="M35" i="1"/>
  <c r="M15" i="1" a="1"/>
  <c r="M15" i="1"/>
  <c r="M8" i="1" a="1"/>
  <c r="M8" i="1"/>
  <c r="M17" i="1" a="1"/>
  <c r="M17" i="1"/>
  <c r="M30" i="1" a="1"/>
  <c r="M30" i="1"/>
  <c r="M20" i="1" a="1"/>
  <c r="M20" i="1"/>
  <c r="M5" i="1" a="1"/>
  <c r="M5" i="1"/>
  <c r="M36" i="1" a="1"/>
  <c r="M36" i="1"/>
  <c r="M25" i="1" a="1"/>
  <c r="M25" i="1"/>
  <c r="M23" i="1" a="1"/>
  <c r="M23" i="1"/>
  <c r="M29" i="1" a="1"/>
  <c r="M29" i="1"/>
  <c r="M32" i="1" a="1"/>
  <c r="M32" i="1"/>
  <c r="M28" i="1" a="1"/>
  <c r="M28" i="1"/>
  <c r="M18" i="1" a="1"/>
  <c r="M18" i="1"/>
  <c r="M34" i="1" a="1"/>
  <c r="M34" i="1"/>
  <c r="M7" i="1" a="1"/>
  <c r="M7" i="1"/>
  <c r="M38" i="1" a="1"/>
  <c r="M38" i="1"/>
  <c r="M19" i="1" a="1"/>
  <c r="M19" i="1"/>
  <c r="M13" i="1" a="1"/>
  <c r="M13" i="1"/>
  <c r="M16" i="1" a="1"/>
  <c r="M16" i="1"/>
  <c r="M24" i="1" a="1"/>
  <c r="M24" i="1"/>
  <c r="M3" i="1" a="1"/>
  <c r="M3" i="1" l="1"/>
  <c r="M1" i="1" a="1"/>
  <c r="M1" i="1" l="1"/>
  <c r="J1" i="1"/>
  <c r="N126" i="1" l="1"/>
  <c r="N128" i="1"/>
  <c r="N129" i="1"/>
  <c r="N130" i="1"/>
  <c r="N127" i="1"/>
  <c r="N103" i="1"/>
  <c r="N125" i="1"/>
  <c r="N114" i="1"/>
  <c r="N115" i="1"/>
  <c r="N113" i="1"/>
  <c r="N124" i="1"/>
  <c r="N108" i="1"/>
  <c r="N110" i="1"/>
  <c r="N111" i="1"/>
  <c r="N105" i="1"/>
  <c r="N120" i="1"/>
  <c r="N104" i="1"/>
  <c r="N109" i="1"/>
  <c r="N106" i="1"/>
  <c r="N107" i="1"/>
  <c r="N122" i="1"/>
  <c r="N116" i="1"/>
  <c r="N118" i="1"/>
  <c r="N121" i="1"/>
  <c r="N123" i="1"/>
  <c r="N117" i="1"/>
  <c r="N119" i="1"/>
  <c r="N112" i="1"/>
  <c r="N100" i="1"/>
  <c r="N99" i="1"/>
  <c r="N97" i="1"/>
  <c r="N96" i="1"/>
  <c r="N95" i="1"/>
  <c r="N98" i="1"/>
  <c r="N90" i="1"/>
  <c r="N94" i="1"/>
  <c r="N65" i="1"/>
  <c r="N77" i="1"/>
  <c r="N81" i="1"/>
  <c r="N85" i="1"/>
  <c r="N66" i="1"/>
  <c r="N68" i="1"/>
  <c r="N88" i="1"/>
  <c r="N83" i="1"/>
  <c r="N87" i="1"/>
  <c r="N72" i="1"/>
  <c r="N64" i="1"/>
  <c r="N80" i="1"/>
  <c r="N73" i="1"/>
  <c r="N63" i="1"/>
  <c r="N93" i="1"/>
  <c r="N92" i="1"/>
  <c r="N74" i="1"/>
  <c r="N78" i="1"/>
  <c r="N82" i="1"/>
  <c r="N86" i="1"/>
  <c r="N67" i="1"/>
  <c r="N71" i="1"/>
  <c r="N89" i="1"/>
  <c r="N79" i="1"/>
  <c r="N69" i="1"/>
  <c r="N91" i="1"/>
  <c r="N76" i="1"/>
  <c r="N84" i="1"/>
  <c r="N70" i="1"/>
  <c r="N75" i="1"/>
  <c r="N54" i="1"/>
  <c r="N58" i="1"/>
  <c r="N57" i="1"/>
  <c r="N55" i="1"/>
  <c r="N59" i="1"/>
  <c r="N56" i="1"/>
  <c r="N60" i="1"/>
  <c r="N53" i="1"/>
  <c r="N51" i="1"/>
  <c r="N52" i="1"/>
  <c r="N49" i="1"/>
  <c r="N50" i="1"/>
  <c r="N48" i="1"/>
  <c r="N42" i="1"/>
  <c r="N46" i="1"/>
  <c r="N43" i="1"/>
  <c r="N47" i="1"/>
  <c r="N40" i="1"/>
  <c r="N41" i="1"/>
  <c r="N39" i="1"/>
  <c r="N44" i="1"/>
  <c r="N45" i="1"/>
  <c r="N4" i="1"/>
  <c r="N8" i="1"/>
  <c r="N12" i="1"/>
  <c r="N16" i="1"/>
  <c r="N20" i="1"/>
  <c r="N24" i="1"/>
  <c r="N28" i="1"/>
  <c r="N32" i="1"/>
  <c r="N36" i="1"/>
  <c r="N5" i="1"/>
  <c r="N9" i="1"/>
  <c r="N13" i="1"/>
  <c r="N17" i="1"/>
  <c r="N21" i="1"/>
  <c r="N25" i="1"/>
  <c r="N29" i="1"/>
  <c r="N33" i="1"/>
  <c r="N37" i="1"/>
  <c r="N6" i="1"/>
  <c r="N10" i="1"/>
  <c r="N14" i="1"/>
  <c r="N18" i="1"/>
  <c r="N22" i="1"/>
  <c r="N26" i="1"/>
  <c r="N30" i="1"/>
  <c r="N34" i="1"/>
  <c r="N38" i="1"/>
  <c r="N7" i="1"/>
  <c r="N15" i="1"/>
  <c r="N19" i="1"/>
  <c r="N23" i="1"/>
  <c r="N27" i="1"/>
  <c r="N31" i="1"/>
  <c r="N35" i="1"/>
  <c r="N3" i="1"/>
  <c r="N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<sst xmlns="http://schemas.openxmlformats.org/spreadsheetml/2006/main" count="261" uniqueCount="112">
  <si>
    <t>date</t>
  </si>
  <si>
    <t>1101 TT Equity</t>
  </si>
  <si>
    <t>1102 TT Equity</t>
  </si>
  <si>
    <t>1216 TT Equity</t>
  </si>
  <si>
    <t>1227 TT Equity</t>
  </si>
  <si>
    <t>1303 TT Equity</t>
  </si>
  <si>
    <t>1590 TT Equity</t>
  </si>
  <si>
    <t>2002 TT Equity</t>
  </si>
  <si>
    <t>2308 TT Equity</t>
  </si>
  <si>
    <t>2317 TT Equity</t>
  </si>
  <si>
    <t>2327 TT Equity</t>
  </si>
  <si>
    <t>2347 TT Equity</t>
  </si>
  <si>
    <t>2377 TT Equity</t>
  </si>
  <si>
    <t>2382 TT Equity</t>
  </si>
  <si>
    <t>2408 TT Equity</t>
  </si>
  <si>
    <t>2409 TT Equity</t>
  </si>
  <si>
    <t>2412 TT Equity</t>
  </si>
  <si>
    <t>2618 TT Equity</t>
  </si>
  <si>
    <t>2801 TT Equity</t>
  </si>
  <si>
    <t>2823 TT Equity</t>
  </si>
  <si>
    <t>2834 TT Equity</t>
  </si>
  <si>
    <t>2883 TT Equity</t>
  </si>
  <si>
    <t>2886 TT Equity</t>
  </si>
  <si>
    <t>3008 TT Equity</t>
  </si>
  <si>
    <t>3481 TT Equity</t>
  </si>
  <si>
    <t>3702 TT Equity</t>
  </si>
  <si>
    <t>3711 TT Equity</t>
  </si>
  <si>
    <t>4938 TT Equity</t>
  </si>
  <si>
    <t>4958 TT Equity</t>
  </si>
  <si>
    <t>5269 TT Equity</t>
  </si>
  <si>
    <t>5347 TT Equity</t>
  </si>
  <si>
    <t>5871 TT Equity</t>
  </si>
  <si>
    <t>6239 TT Equity</t>
  </si>
  <si>
    <t>6415 TT Equity</t>
  </si>
  <si>
    <t>6488 TT Equity</t>
  </si>
  <si>
    <t>6505 TT Equity</t>
  </si>
  <si>
    <t>8299 TT Equity</t>
  </si>
  <si>
    <t>11/29/2021</t>
  </si>
  <si>
    <t>size</t>
  </si>
  <si>
    <t>USDTWD Curncy</t>
  </si>
  <si>
    <t>2379 TT Equity</t>
  </si>
  <si>
    <t>2385 TT Equity</t>
  </si>
  <si>
    <t>2395 TT Equity</t>
  </si>
  <si>
    <t>2881 TT Equity</t>
  </si>
  <si>
    <t>5880 TT Equity</t>
  </si>
  <si>
    <t>12/1/2021</t>
  </si>
  <si>
    <t>12/2/2021</t>
  </si>
  <si>
    <t>2049 TT Equity</t>
  </si>
  <si>
    <t>2207 TT Equity</t>
  </si>
  <si>
    <t>8464 TT Equity</t>
  </si>
  <si>
    <t>9910 TT Equity</t>
  </si>
  <si>
    <t>9921 TT Equity</t>
  </si>
  <si>
    <t>12/3/2021</t>
  </si>
  <si>
    <t>1044 HK Equity</t>
  </si>
  <si>
    <t>1088 HK Equity</t>
  </si>
  <si>
    <t>1093 HK Equity</t>
  </si>
  <si>
    <t>1193 HK Equity</t>
  </si>
  <si>
    <t>1658 HK Equity</t>
  </si>
  <si>
    <t>1810 HK Equity</t>
  </si>
  <si>
    <t>2020 HK Equity</t>
  </si>
  <si>
    <t>2202 HK Equity</t>
  </si>
  <si>
    <t>2313 HK Equity</t>
  </si>
  <si>
    <t>2318 HK Equity</t>
  </si>
  <si>
    <t>2319 HK Equity</t>
  </si>
  <si>
    <t>2382 HK Equity</t>
  </si>
  <si>
    <t>2688 HK Equity</t>
  </si>
  <si>
    <t>3328 HK Equity</t>
  </si>
  <si>
    <t>175 HK Equity</t>
  </si>
  <si>
    <t>267 HK Equity</t>
  </si>
  <si>
    <t>270 HK Equity</t>
  </si>
  <si>
    <t>usdhkd curncy</t>
  </si>
  <si>
    <t>291 HK Equity</t>
  </si>
  <si>
    <t>384 HK Equity</t>
  </si>
  <si>
    <t>386 HK Equity</t>
  </si>
  <si>
    <t>700 HK Equity</t>
  </si>
  <si>
    <t>762 HK Equity</t>
  </si>
  <si>
    <t>939 HK Equity</t>
  </si>
  <si>
    <t>960 HK Equity</t>
  </si>
  <si>
    <t>966 HK Equity</t>
  </si>
  <si>
    <t>2328 HK Equity</t>
  </si>
  <si>
    <t>3988 HK Equity</t>
  </si>
  <si>
    <t>586 HK Equity</t>
  </si>
  <si>
    <t>998 HK Equity</t>
  </si>
  <si>
    <t>000001 CH Equity</t>
  </si>
  <si>
    <t>000333 CH Equity</t>
  </si>
  <si>
    <t>000568 CH Equity</t>
  </si>
  <si>
    <t>002304 CH Equity</t>
  </si>
  <si>
    <t>002607 CH Equity</t>
  </si>
  <si>
    <t>600028 CH Equity</t>
  </si>
  <si>
    <t>600036 CH Equity</t>
  </si>
  <si>
    <t>600104 CH Equity</t>
  </si>
  <si>
    <t>600276 CH Equity</t>
  </si>
  <si>
    <t>600309 CH Equity</t>
  </si>
  <si>
    <t>600346 CH Equity</t>
  </si>
  <si>
    <t>600809 CH Equity</t>
  </si>
  <si>
    <t>600887 CH Equity</t>
  </si>
  <si>
    <t>601012 CH Equity</t>
  </si>
  <si>
    <t>601138 CH Equity</t>
  </si>
  <si>
    <t>601166 CH Equity</t>
  </si>
  <si>
    <t>601318 CH Equity</t>
  </si>
  <si>
    <t>601398 CH Equity</t>
  </si>
  <si>
    <t>601628 CH Equity</t>
  </si>
  <si>
    <t>601857 CH Equity</t>
  </si>
  <si>
    <t>601998 CH Equity</t>
  </si>
  <si>
    <t>603259 CH Equity</t>
  </si>
  <si>
    <t>603288 CH Equity</t>
  </si>
  <si>
    <t>usdcnh curncy</t>
  </si>
  <si>
    <t>000858 CH Equity</t>
  </si>
  <si>
    <t>300750 CH Equity</t>
  </si>
  <si>
    <t>601066 CH Equity</t>
  </si>
  <si>
    <t>601328 CH Equity</t>
  </si>
  <si>
    <t>002352 CH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</si>
</sst>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BDH|10978929332381897100</stp>
        <tr r="M16" s="1"/>
      </tp>
      <tp t="s">
        <v>#N/A N/A</v>
        <stp/>
        <stp>BDH|11632904070215303052</stp>
        <tr r="M86" s="1"/>
      </tp>
      <tp t="s">
        <v>#N/A N/A</v>
        <stp/>
        <stp>BDH|14531354895026843248</stp>
        <tr r="M37" s="1"/>
      </tp>
      <tp t="s">
        <v>#N/A N/A</v>
        <stp/>
        <stp>BDH|16098002060962120922</stp>
        <tr r="M89" s="1"/>
      </tp>
      <tp t="s">
        <v>#N/A N/A</v>
        <stp/>
        <stp>BDH|12705499991271877552</stp>
        <tr r="M22" s="1"/>
      </tp>
      <tp t="s">
        <v>#N/A N/A</v>
        <stp/>
        <stp>BDH|17282804324395927316</stp>
        <tr r="M93" s="1"/>
      </tp>
      <tp t="s">
        <v>#N/A N/A</v>
        <stp/>
        <stp>BDH|10681488677443243840</stp>
        <tr r="M12" s="1"/>
      </tp>
      <tp t="s">
        <v>#N/A N/A</v>
        <stp/>
        <stp>BDH|13876268891050211034</stp>
        <tr r="M110" s="1"/>
      </tp>
      <tp t="s">
        <v>#N/A N/A</v>
        <stp/>
        <stp>BDH|15884269491393573414</stp>
        <tr r="M34" s="1"/>
      </tp>
      <tp t="s">
        <v>#N/A N/A</v>
        <stp/>
        <stp>BDH|10652570579972545921</stp>
        <tr r="M78" s="1"/>
      </tp>
      <tp t="s">
        <v>#N/A N/A</v>
        <stp/>
        <stp>BDH|17519339730980390955</stp>
        <tr r="M8" s="1"/>
      </tp>
      <tp t="s">
        <v>#N/A N/A</v>
        <stp/>
        <stp>BDH|15310533283732588456</stp>
        <tr r="M122" s="1"/>
      </tp>
      <tp t="s">
        <v>#N/A N/A</v>
        <stp/>
        <stp>BDH|15625026057168676609</stp>
        <tr r="M132" s="1"/>
      </tp>
      <tp t="s">
        <v>#N/A N/A</v>
        <stp/>
        <stp>BDH|18446000882349067704</stp>
        <tr r="M35" s="1"/>
      </tp>
      <tp t="s">
        <v>#N/A N/A</v>
        <stp/>
        <stp>BDH|12530450499985134424</stp>
        <tr r="M66" s="1"/>
      </tp>
      <tp t="s">
        <v>#N/A N/A</v>
        <stp/>
        <stp>BDH|14569945615750127287</stp>
        <tr r="M54" s="1"/>
      </tp>
      <tp t="s">
        <v>#N/A N/A</v>
        <stp/>
        <stp>BDH|12176396512116898914</stp>
        <tr r="M76" s="1"/>
      </tp>
      <tp t="s">
        <v>#N/A N/A</v>
        <stp/>
        <stp>BDH|10983533291977003788</stp>
        <tr r="M17" s="1"/>
      </tp>
      <tp t="s">
        <v>#N/A N/A</v>
        <stp/>
        <stp>BDH|13227938426024031048</stp>
        <tr r="M52" s="1"/>
      </tp>
      <tp t="s">
        <v>#N/A N/A</v>
        <stp/>
        <stp>BDH|13888973035447880277</stp>
        <tr r="M124" s="1"/>
      </tp>
      <tp t="s">
        <v>#N/A N/A</v>
        <stp/>
        <stp>BDH|10033759470285140935</stp>
        <tr r="M39" s="1"/>
      </tp>
      <tp t="s">
        <v>#N/A N/A</v>
        <stp/>
        <stp>BDH|11957659793957143402</stp>
        <tr r="M67" s="1"/>
      </tp>
      <tp t="s">
        <v>#N/A N/A</v>
        <stp/>
        <stp>BDH|14254176380339256670</stp>
        <tr r="M57" s="1"/>
      </tp>
      <tp t="s">
        <v>#N/A N/A</v>
        <stp/>
        <stp>BDH|14364856371499183033</stp>
        <tr r="M82" s="1"/>
      </tp>
      <tp t="s">
        <v>#N/A N/A</v>
        <stp/>
        <stp>BDH|17597196610076491353</stp>
        <tr r="M50" s="1"/>
      </tp>
      <tp t="s">
        <v>#N/A N/A</v>
        <stp/>
        <stp>BDH|17094971371739942203</stp>
        <tr r="M130" s="1"/>
      </tp>
      <tp t="s">
        <v>#N/A N/A</v>
        <stp/>
        <stp>BDH|11278374490908047054</stp>
        <tr r="M116" s="1"/>
      </tp>
      <tp t="s">
        <v>#N/A N/A</v>
        <stp/>
        <stp>BDH|14000938420218633457</stp>
        <tr r="M123" s="1"/>
      </tp>
      <tp t="s">
        <v>#N/A N/A</v>
        <stp/>
        <stp>BDH|13077870798962461384</stp>
        <tr r="M36" s="1"/>
      </tp>
      <tp t="s">
        <v>#N/A N/A</v>
        <stp/>
        <stp>BDH|18317026556469762774</stp>
        <tr r="M109" s="1"/>
      </tp>
      <tp t="s">
        <v>#N/A N/A</v>
        <stp/>
        <stp>BDH|10184630104826223389</stp>
        <tr r="M85" s="1"/>
      </tp>
      <tp t="s">
        <v>#N/A N/A</v>
        <stp/>
        <stp>BDH|14859210362581143192</stp>
        <tr r="M72" s="1"/>
      </tp>
      <tp t="s">
        <v>#N/A N/A</v>
        <stp/>
        <stp>BDH|13371825389201374249</stp>
        <tr r="M90" s="1"/>
      </tp>
      <tp t="s">
        <v>#N/A N/A</v>
        <stp/>
        <stp>BDH|15661040406946312267</stp>
        <tr r="M100" s="1"/>
      </tp>
      <tp t="s">
        <v>#N/A N/A</v>
        <stp/>
        <stp>BDH|16382167294328117710</stp>
        <tr r="M3" s="1"/>
      </tp>
      <tp t="s">
        <v>#N/A N/A</v>
        <stp/>
        <stp>BDH|12089493936313786791</stp>
        <tr r="M120" s="1"/>
      </tp>
      <tp t="s">
        <v>#N/A N/A</v>
        <stp/>
        <stp>BDH|17086666575093557455</stp>
        <tr r="M68" s="1"/>
      </tp>
      <tp t="s">
        <v>#N/A N/A</v>
        <stp/>
        <stp>BDH|11120605085676966886</stp>
        <tr r="M77" s="1"/>
      </tp>
      <tp t="s">
        <v>#N/A N/A</v>
        <stp/>
        <stp>BDH|14077133352763097253</stp>
        <tr r="M5" s="1"/>
      </tp>
      <tp t="s">
        <v>#N/A N/A</v>
        <stp/>
        <stp>BDH|13542263152691021470</stp>
        <tr r="M40" s="1"/>
      </tp>
      <tp t="s">
        <v>#N/A N/A</v>
        <stp/>
        <stp>BDH|12163571736747612286</stp>
        <tr r="M115" s="1"/>
      </tp>
      <tp t="s">
        <v>#N/A N/A</v>
        <stp/>
        <stp>BDH|15711060473087165306</stp>
        <tr r="M38" s="1"/>
      </tp>
      <tp t="s">
        <v>#N/A N/A</v>
        <stp/>
        <stp>BDH|13873588241876636245</stp>
        <tr r="M114" s="1"/>
      </tp>
      <tp t="s">
        <v>#N/A N/A</v>
        <stp/>
        <stp>BDH|10517712102995406407</stp>
        <tr r="M128" s="1"/>
      </tp>
      <tp t="s">
        <v>#N/A N/A</v>
        <stp/>
        <stp>BDH|16571912763656395919</stp>
        <tr r="M126" s="1"/>
      </tp>
      <tp t="s">
        <v>#N/A N/A</v>
        <stp/>
        <stp>BDH|15524013468557555241</stp>
        <tr r="M87" s="1"/>
      </tp>
      <tp t="s">
        <v>#N/A N/A</v>
        <stp/>
        <stp>BDH|15515959595926136447</stp>
        <tr r="M45" s="1"/>
      </tp>
      <tp t="s">
        <v>#N/A N/A</v>
        <stp/>
        <stp>BDH|13125349649175193660</stp>
        <tr r="M46" s="1"/>
      </tp>
      <tp t="s">
        <v>#N/A N/A</v>
        <stp/>
        <stp>BDH|14702030574805264198</stp>
        <tr r="M111" s="1"/>
      </tp>
      <tp t="s">
        <v>#N/A N/A</v>
        <stp/>
        <stp>BDH|16260314629248267828</stp>
        <tr r="M95" s="1"/>
      </tp>
      <tp t="s">
        <v>#N/A N/A</v>
        <stp/>
        <stp>BDH|10981152155042524139</stp>
        <tr r="M14" s="1"/>
      </tp>
      <tp t="s">
        <v>#N/A N/A</v>
        <stp/>
        <stp>BDH|17448326878790406453</stp>
        <tr r="M55" s="1"/>
      </tp>
      <tp t="s">
        <v>#N/A N/A</v>
        <stp/>
        <stp>BDH|18268875237414626355</stp>
        <tr r="M84" s="1"/>
      </tp>
      <tp t="s">
        <v>#N/A N/A</v>
        <stp/>
        <stp>BDH|12854145760309252839</stp>
        <tr r="M41" s="1"/>
      </tp>
      <tp t="s">
        <v>#N/A N/A</v>
        <stp/>
        <stp>BDH|17886342519852785239</stp>
        <tr r="M125" s="1"/>
      </tp>
      <tp t="s">
        <v>#N/A N/A</v>
        <stp/>
        <stp>BDH|10796969304075199943</stp>
        <tr r="M28" s="1"/>
      </tp>
      <tp t="s">
        <v>#N/A N/A</v>
        <stp/>
        <stp>BDH|15645698028691834572</stp>
        <tr r="M121" s="1"/>
      </tp>
      <tp t="s">
        <v>#N/A N/A</v>
        <stp/>
        <stp>BDH|17494288973340294774</stp>
        <tr r="M49" s="1"/>
      </tp>
      <tp t="s">
        <v>#N/A N/A</v>
        <stp/>
        <stp>BDH|16561688911916612207</stp>
        <tr r="M98" s="1"/>
      </tp>
    </main>
    <main first="bofaddin.rtdserver">
      <tp t="s">
        <v>#N/A N/A</v>
        <stp/>
        <stp>BDP|5789286255289205741</stp>
        <tr r="S1" s="1"/>
      </tp>
      <tp t="s">
        <v>#N/A N/A</v>
        <stp/>
        <stp>BDH|3702320630329329625</stp>
        <tr r="M56" s="1"/>
      </tp>
      <tp t="s">
        <v>#N/A N/A</v>
        <stp/>
        <stp>BDH|2950715326288336388</stp>
        <tr r="M83" s="1"/>
      </tp>
      <tp t="s">
        <v>#N/A N/A</v>
        <stp/>
        <stp>BDH|6367463528838017481</stp>
        <tr r="M43" s="1"/>
      </tp>
      <tp t="s">
        <v>#N/A N/A</v>
        <stp/>
        <stp>BDH|7221148664125263887</stp>
        <tr r="M75" s="1"/>
      </tp>
      <tp t="s">
        <v>#N/A N/A</v>
        <stp/>
        <stp>BDH|5119809445202399659</stp>
        <tr r="M71" s="1"/>
      </tp>
      <tp t="s">
        <v>#N/A N/A</v>
        <stp/>
        <stp>BDH|6215960110457063414</stp>
        <tr r="M32" s="1"/>
      </tp>
      <tp t="s">
        <v>#N/A N/A</v>
        <stp/>
        <stp>BDH|2571694984638498995</stp>
        <tr r="M113" s="1"/>
      </tp>
      <tp t="s">
        <v>#N/A N/A</v>
        <stp/>
        <stp>BDH|4111166493139632879</stp>
        <tr r="M73" s="1"/>
      </tp>
      <tp t="s">
        <v>#N/A N/A</v>
        <stp/>
        <stp>BDH|9746734018248034943</stp>
        <tr r="M117" s="1"/>
      </tp>
      <tp t="s">
        <v>#N/A N/A</v>
        <stp/>
        <stp>BDH|3110793294825468650</stp>
        <tr r="M107" s="1"/>
      </tp>
      <tp t="s">
        <v>#N/A N/A</v>
        <stp/>
        <stp>BDH|2970827336952916548</stp>
        <tr r="M53" s="1"/>
      </tp>
      <tp t="s">
        <v>#N/A N/A</v>
        <stp/>
        <stp>BDH|9793921441242342872</stp>
        <tr r="M11" s="1"/>
      </tp>
      <tp t="s">
        <v>#N/A N/A</v>
        <stp/>
        <stp>BDH|6363916424530442332</stp>
        <tr r="M42" s="1"/>
      </tp>
      <tp t="s">
        <v>#N/A N/A</v>
        <stp/>
        <stp>BDH|2023584809521856882</stp>
        <tr r="M108" s="1"/>
      </tp>
      <tp t="s">
        <v>#N/A N/A</v>
        <stp/>
        <stp>BDH|2642753093271664374</stp>
        <tr r="M105" s="1"/>
      </tp>
      <tp t="s">
        <v>#N/A N/A</v>
        <stp/>
        <stp>BDH|1381765461237310904</stp>
        <tr r="M97" s="1"/>
      </tp>
      <tp t="s">
        <v>#N/A N/A</v>
        <stp/>
        <stp>BDH|6804065881394613511</stp>
        <tr r="M9" s="1"/>
      </tp>
      <tp t="s">
        <v>#N/A N/A</v>
        <stp/>
        <stp>BDP|6621213076434188879</stp>
        <tr r="M1" s="1"/>
      </tp>
      <tp t="s">
        <v>#N/A N/A</v>
        <stp/>
        <stp>BDH|5577805655065517588</stp>
        <tr r="M10" s="1"/>
      </tp>
      <tp t="s">
        <v>#N/A N/A</v>
        <stp/>
        <stp>BDH|8420378218500153285</stp>
        <tr r="M51" s="1"/>
      </tp>
      <tp t="s">
        <v>#N/A N/A</v>
        <stp/>
        <stp>BDH|4383923938287654024</stp>
        <tr r="M44" s="1"/>
      </tp>
      <tp t="s">
        <v>#N/A N/A</v>
        <stp/>
        <stp>BDH|6682853415033539551</stp>
        <tr r="M23" s="1"/>
      </tp>
      <tp t="s">
        <v>#N/A N/A</v>
        <stp/>
        <stp>BDH|8374157013923363202</stp>
        <tr r="M118" s="1"/>
      </tp>
      <tp t="s">
        <v>#N/A N/A</v>
        <stp/>
        <stp>BDH|5024456364495183873</stp>
        <tr r="M24" s="1"/>
      </tp>
      <tp t="s">
        <v>#N/A N/A</v>
        <stp/>
        <stp>BDH|8458443252476306431</stp>
        <tr r="M92" s="1"/>
      </tp>
      <tp t="s">
        <v>#N/A N/A</v>
        <stp/>
        <stp>BDH|3564519405314005924</stp>
        <tr r="M127" s="1"/>
      </tp>
      <tp t="s">
        <v>#N/A N/A</v>
        <stp/>
        <stp>BDH|6672512081744225425</stp>
        <tr r="M88" s="1"/>
      </tp>
      <tp t="s">
        <v>#N/A N/A</v>
        <stp/>
        <stp>BDH|9028650967643351152</stp>
        <tr r="M65" s="1"/>
      </tp>
      <tp t="s">
        <v>#N/A N/A</v>
        <stp/>
        <stp>BDH|8970762662235857700</stp>
        <tr r="M112" s="1"/>
      </tp>
      <tp t="s">
        <v>#N/A N/A</v>
        <stp/>
        <stp>BDH|5264435794238357451</stp>
        <tr r="M80" s="1"/>
      </tp>
      <tp t="s">
        <v>#N/A N/A</v>
        <stp/>
        <stp>BDH|1596335425272142640</stp>
        <tr r="M58" s="1"/>
      </tp>
      <tp t="s">
        <v>#N/A N/A</v>
        <stp/>
        <stp>BDH|7798321500719729954</stp>
        <tr r="M74" s="1"/>
      </tp>
      <tp t="s">
        <v>#N/A N/A</v>
        <stp/>
        <stp>BDH|7578347961536100041</stp>
        <tr r="M103" s="1"/>
      </tp>
      <tp t="s">
        <v>#N/A N/A</v>
        <stp/>
        <stp>BDH|4455081838556385487</stp>
        <tr r="M59" s="1"/>
      </tp>
      <tp t="s">
        <v>#N/A N/A</v>
        <stp/>
        <stp>BDP|6801747941718100892</stp>
        <tr r="P1" s="1"/>
      </tp>
      <tp t="s">
        <v>#N/A N/A</v>
        <stp/>
        <stp>BDH|7250566954600851103</stp>
        <tr r="M4" s="1"/>
      </tp>
      <tp t="s">
        <v>#N/A N/A</v>
        <stp/>
        <stp>BDH|8762945535753272798</stp>
        <tr r="M27" s="1"/>
      </tp>
      <tp t="s">
        <v>#N/A N/A</v>
        <stp/>
        <stp>BDH|5203681960724509729</stp>
        <tr r="M64" s="1"/>
      </tp>
      <tp t="s">
        <v>#N/A N/A</v>
        <stp/>
        <stp>BDH|1257382553444235402</stp>
        <tr r="M129" s="1"/>
      </tp>
      <tp t="s">
        <v>#N/A N/A</v>
        <stp/>
        <stp>BDH|3915891364548018291</stp>
        <tr r="M63" s="1"/>
      </tp>
      <tp t="s">
        <v>#N/A N/A</v>
        <stp/>
        <stp>BDH|1488405970472427712</stp>
        <tr r="M99" s="1"/>
      </tp>
      <tp t="s">
        <v>#N/A N/A</v>
        <stp/>
        <stp>BDH|4765441292269511725</stp>
        <tr r="M106" s="1"/>
      </tp>
      <tp t="s">
        <v>#N/A N/A</v>
        <stp/>
        <stp>BDH|2785131261267446577</stp>
        <tr r="M19" s="1"/>
      </tp>
      <tp t="s">
        <v>#N/A N/A</v>
        <stp/>
        <stp>BDH|7205152675934043255</stp>
        <tr r="M131" s="1"/>
      </tp>
      <tp t="s">
        <v>#N/A N/A</v>
        <stp/>
        <stp>BDH|2393636368166312476</stp>
        <tr r="M104" s="1"/>
      </tp>
      <tp t="s">
        <v>#N/A N/A</v>
        <stp/>
        <stp>BDH|6111067213116014160</stp>
        <tr r="M25" s="1"/>
      </tp>
      <tp t="s">
        <v>#N/A N/A</v>
        <stp/>
        <stp>BDH|1553410522743228423</stp>
        <tr r="M60" s="1"/>
      </tp>
      <tp t="s">
        <v>#N/A N/A</v>
        <stp/>
        <stp>BDH|3518223170686911160</stp>
        <tr r="M47" s="1"/>
      </tp>
      <tp t="s">
        <v>#N/A N/A</v>
        <stp/>
        <stp>BDH|6922222725867877049</stp>
        <tr r="M6" s="1"/>
      </tp>
      <tp t="s">
        <v>#N/A N/A</v>
        <stp/>
        <stp>BDH|3606355403849282827</stp>
        <tr r="M81" s="1"/>
      </tp>
      <tp t="s">
        <v>#N/A N/A</v>
        <stp/>
        <stp>BDH|5306079911646776357</stp>
        <tr r="M94" s="1"/>
      </tp>
      <tp t="s">
        <v>#N/A N/A</v>
        <stp/>
        <stp>BDH|2325755782519204533</stp>
        <tr r="M21" s="1"/>
      </tp>
      <tp t="s">
        <v>#N/A N/A</v>
        <stp/>
        <stp>BDH|4826499733179386833</stp>
        <tr r="M31" s="1"/>
      </tp>
      <tp t="s">
        <v>#N/A N/A</v>
        <stp/>
        <stp>BDH|4554553345065004269</stp>
        <tr r="M91" s="1"/>
      </tp>
      <tp t="s">
        <v>#N/A N/A</v>
        <stp/>
        <stp>BDH|7376460412740276056</stp>
        <tr r="M29" s="1"/>
      </tp>
      <tp t="s">
        <v>#N/A N/A</v>
        <stp/>
        <stp>BDH|6033487745692587698</stp>
        <tr r="M48" s="1"/>
      </tp>
      <tp t="s">
        <v>#N/A N/A</v>
        <stp/>
        <stp>BDH|2473571762712443136</stp>
        <tr r="M18" s="1"/>
      </tp>
      <tp t="s">
        <v>#N/A N/A</v>
        <stp/>
        <stp>BDH|5237521301795712724</stp>
        <tr r="M33" s="1"/>
      </tp>
      <tp t="s">
        <v>#N/A N/A</v>
        <stp/>
        <stp>BDH|6127868819184081857</stp>
        <tr r="M133" s="1"/>
      </tp>
      <tp t="s">
        <v>#N/A N/A</v>
        <stp/>
        <stp>BDH|2890330450051053694</stp>
        <tr r="M96" s="1"/>
      </tp>
      <tp t="s">
        <v>#N/A N/A</v>
        <stp/>
        <stp>BDH|5193726084458657129</stp>
        <tr r="M20" s="1"/>
      </tp>
      <tp t="s">
        <v>#N/A N/A</v>
        <stp/>
        <stp>BDH|4436783529102112000</stp>
        <tr r="M13" s="1"/>
      </tp>
      <tp t="s">
        <v>#N/A N/A</v>
        <stp/>
        <stp>BDH|7297536960585799225</stp>
        <tr r="M30" s="1"/>
      </tp>
      <tp t="s">
        <v>#N/A N/A</v>
        <stp/>
        <stp>BDH|190261462113440250</stp>
        <tr r="M70" s="1"/>
      </tp>
      <tp t="s">
        <v>#N/A N/A</v>
        <stp/>
        <stp>BDH|979037641009316930</stp>
        <tr r="M69" s="1"/>
      </tp>
      <tp t="s">
        <v>#N/A N/A</v>
        <stp/>
        <stp>BDH|774534754192667225</stp>
        <tr r="M15" s="1"/>
      </tp>
      <tp t="s">
        <v>#N/A N/A</v>
        <stp/>
        <stp>BDH|703060881218269259</stp>
        <tr r="M134" s="1"/>
      </tp>
      <tp t="s">
        <v>#N/A N/A</v>
        <stp/>
        <stp>BDH|967615628799938043</stp>
        <tr r="M119" s="1"/>
      </tp>
      <tp t="s">
        <v>#N/A N/A</v>
        <stp/>
        <stp>BDH|565841565706382516</stp>
        <tr r="M26" s="1"/>
      </tp>
      <tp t="s">
        <v>#N/A N/A</v>
        <stp/>
        <stp>BDH|348390570758738050</stp>
        <tr r="M79" s="1"/>
      </tp>
      <tp t="s">
        <v>#N/A N/A</v>
        <stp/>
        <stp>BDH|261996910313028422</stp>
        <tr r="M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0A81-2567-46A0-8FBC-E9B3D4F64C36}">
  <dimension ref="A1:S134"/>
  <sheetViews>
    <sheetView tabSelected="1" topLeftCell="A91" workbookViewId="0">
      <selection activeCell="H131" sqref="H131"/>
    </sheetView>
  </sheetViews>
  <sheetFormatPr defaultRowHeight="15"/>
  <sheetData>
    <row r="1" spans="1:19">
      <c r="I1" t="s">
        <v>38</v>
      </c>
      <c r="J1">
        <f>1000000</f>
        <v>1000000</v>
      </c>
      <c r="L1" t="s">
        <v>39</v>
      </c>
      <c r="M1" cm="1">
        <f t="array" ref="M1">_xll.BDP(L1,"PX_LAST")</f>
        <v>27.713999999999999</v>
      </c>
      <c r="O1" t="s">
        <v>70</v>
      </c>
      <c r="P1" cm="1">
        <f t="array" ref="P1">_xll.BDP(O1,"PX_LAST")</f>
        <v>7.7953999999999999</v>
      </c>
      <c r="R1" t="s">
        <v>106</v>
      </c>
      <c r="S1" cm="1">
        <f t="array" ref="S1">_xll.BDP(R1,"PX_LAST")</f>
        <v>6.3747999999999996</v>
      </c>
    </row>
    <row r="2" spans="1:19">
      <c r="A2" t="s">
        <v>0</v>
      </c>
    </row>
    <row r="3" spans="1:19">
      <c r="A3" t="s">
        <v>37</v>
      </c>
      <c r="B3" t="s">
        <v>1</v>
      </c>
      <c r="C3">
        <v>-1</v>
      </c>
      <c r="D3">
        <v>-596000</v>
      </c>
      <c r="E3">
        <v>46.5</v>
      </c>
      <c r="M3" cm="1">
        <f t="array" ref="M3">_xll.BDH(B3,"PX_LAST",A3,A3)</f>
        <v>46.5</v>
      </c>
      <c r="N3">
        <f>ROUND($J$1*C3*$M$1/M3,0)</f>
        <v>-596000</v>
      </c>
    </row>
    <row r="4" spans="1:19">
      <c r="A4" t="s">
        <v>37</v>
      </c>
      <c r="B4" t="s">
        <v>2</v>
      </c>
      <c r="C4">
        <v>-1</v>
      </c>
      <c r="D4">
        <v>-652862</v>
      </c>
      <c r="E4">
        <v>42.45</v>
      </c>
      <c r="M4" cm="1">
        <f t="array" ref="M4">_xll.BDH(B4,"PX_LAST",A4,A4)</f>
        <v>42.45</v>
      </c>
      <c r="N4">
        <f t="shared" ref="N4:N60" si="0">ROUND($J$1*C4*$M$1/M4,0)</f>
        <v>-652862</v>
      </c>
    </row>
    <row r="5" spans="1:19">
      <c r="A5" t="s">
        <v>37</v>
      </c>
      <c r="B5" t="s">
        <v>3</v>
      </c>
      <c r="C5">
        <v>1</v>
      </c>
      <c r="D5">
        <v>411798</v>
      </c>
      <c r="E5">
        <v>67.3</v>
      </c>
      <c r="M5" cm="1">
        <f t="array" ref="M5">_xll.BDH(B5,"PX_LAST",A5,A5)</f>
        <v>67.3</v>
      </c>
      <c r="N5">
        <f t="shared" si="0"/>
        <v>411798</v>
      </c>
    </row>
    <row r="6" spans="1:19">
      <c r="A6" t="s">
        <v>37</v>
      </c>
      <c r="B6" t="s">
        <v>4</v>
      </c>
      <c r="C6">
        <v>1</v>
      </c>
      <c r="D6">
        <v>540234</v>
      </c>
      <c r="E6">
        <v>51.3</v>
      </c>
      <c r="M6" cm="1">
        <f t="array" ref="M6">_xll.BDH(B6,"PX_LAST",A6,A6)</f>
        <v>51.3</v>
      </c>
      <c r="N6">
        <f t="shared" si="0"/>
        <v>540234</v>
      </c>
    </row>
    <row r="7" spans="1:19">
      <c r="A7" t="s">
        <v>37</v>
      </c>
      <c r="B7" t="s">
        <v>5</v>
      </c>
      <c r="C7">
        <v>1</v>
      </c>
      <c r="D7">
        <v>335115</v>
      </c>
      <c r="E7">
        <v>82.7</v>
      </c>
      <c r="M7" cm="1">
        <f t="array" ref="M7">_xll.BDH(B7,"PX_LAST",A7,A7)</f>
        <v>82.7</v>
      </c>
      <c r="N7">
        <f t="shared" si="0"/>
        <v>335115</v>
      </c>
    </row>
    <row r="8" spans="1:19">
      <c r="A8" t="s">
        <v>37</v>
      </c>
      <c r="B8" t="s">
        <v>6</v>
      </c>
      <c r="C8">
        <v>1</v>
      </c>
      <c r="D8">
        <v>33715</v>
      </c>
      <c r="E8">
        <v>822</v>
      </c>
      <c r="M8" cm="1">
        <f t="array" ref="M8">_xll.BDH(B8,"PX_LAST",A8,A8)</f>
        <v>822</v>
      </c>
      <c r="N8">
        <f t="shared" si="0"/>
        <v>33715</v>
      </c>
    </row>
    <row r="9" spans="1:19">
      <c r="A9" t="s">
        <v>37</v>
      </c>
      <c r="B9" t="s">
        <v>7</v>
      </c>
      <c r="C9">
        <v>-1</v>
      </c>
      <c r="D9">
        <v>-842371</v>
      </c>
      <c r="E9">
        <v>32.9</v>
      </c>
      <c r="M9" cm="1">
        <f t="array" ref="M9">_xll.BDH(B9,"PX_LAST",A9,A9)</f>
        <v>32.9</v>
      </c>
      <c r="N9">
        <f t="shared" si="0"/>
        <v>-842371</v>
      </c>
    </row>
    <row r="10" spans="1:19">
      <c r="A10" t="s">
        <v>37</v>
      </c>
      <c r="B10" t="s">
        <v>8</v>
      </c>
      <c r="C10">
        <v>1</v>
      </c>
      <c r="D10">
        <v>109325</v>
      </c>
      <c r="E10">
        <v>253.5</v>
      </c>
      <c r="M10" cm="1">
        <f t="array" ref="M10">_xll.BDH(B10,"PX_LAST",A10,A10)</f>
        <v>253.5</v>
      </c>
      <c r="N10">
        <f t="shared" si="0"/>
        <v>109325</v>
      </c>
    </row>
    <row r="11" spans="1:19">
      <c r="A11" t="s">
        <v>37</v>
      </c>
      <c r="B11" t="s">
        <v>9</v>
      </c>
      <c r="C11">
        <v>1</v>
      </c>
      <c r="D11">
        <v>267768</v>
      </c>
      <c r="E11">
        <v>103.5</v>
      </c>
      <c r="M11" cm="1">
        <f t="array" ref="M11">_xll.BDH(B11,"PX_LAST",A11,A11)</f>
        <v>103.5</v>
      </c>
      <c r="N11">
        <f t="shared" si="0"/>
        <v>267768</v>
      </c>
    </row>
    <row r="12" spans="1:19">
      <c r="A12" t="s">
        <v>37</v>
      </c>
      <c r="B12" t="s">
        <v>10</v>
      </c>
      <c r="C12">
        <v>1</v>
      </c>
      <c r="D12">
        <v>60313</v>
      </c>
      <c r="E12">
        <v>459.5</v>
      </c>
      <c r="M12" cm="1">
        <f t="array" ref="M12">_xll.BDH(B12,"PX_LAST",A12,A12)</f>
        <v>459.5</v>
      </c>
      <c r="N12">
        <f t="shared" si="0"/>
        <v>60313</v>
      </c>
    </row>
    <row r="13" spans="1:19">
      <c r="A13" t="s">
        <v>37</v>
      </c>
      <c r="B13" t="s">
        <v>11</v>
      </c>
      <c r="C13">
        <v>1</v>
      </c>
      <c r="D13">
        <v>478653</v>
      </c>
      <c r="E13">
        <v>57.9</v>
      </c>
      <c r="M13" cm="1">
        <f t="array" ref="M13">_xll.BDH(B13,"PX_LAST",A13,A13)</f>
        <v>57.9</v>
      </c>
      <c r="N13">
        <f t="shared" si="0"/>
        <v>478653</v>
      </c>
    </row>
    <row r="14" spans="1:19">
      <c r="A14" t="s">
        <v>37</v>
      </c>
      <c r="B14" t="s">
        <v>12</v>
      </c>
      <c r="C14">
        <v>1</v>
      </c>
      <c r="D14">
        <v>171604</v>
      </c>
      <c r="E14">
        <v>161.5</v>
      </c>
      <c r="M14" cm="1">
        <f t="array" ref="M14">_xll.BDH(B14,"PX_LAST",A14,A14)</f>
        <v>161.5</v>
      </c>
      <c r="N14">
        <f t="shared" si="0"/>
        <v>171604</v>
      </c>
    </row>
    <row r="15" spans="1:19">
      <c r="A15" t="s">
        <v>37</v>
      </c>
      <c r="B15" t="s">
        <v>13</v>
      </c>
      <c r="C15">
        <v>1</v>
      </c>
      <c r="D15">
        <v>320023</v>
      </c>
      <c r="E15">
        <v>86.6</v>
      </c>
      <c r="M15" cm="1">
        <f t="array" ref="M15">_xll.BDH(B15,"PX_LAST",A15,A15)</f>
        <v>86.6</v>
      </c>
      <c r="N15">
        <f t="shared" si="0"/>
        <v>320023</v>
      </c>
    </row>
    <row r="16" spans="1:19">
      <c r="A16" t="s">
        <v>37</v>
      </c>
      <c r="B16" t="s">
        <v>14</v>
      </c>
      <c r="C16">
        <v>1</v>
      </c>
      <c r="D16">
        <v>378090</v>
      </c>
      <c r="E16">
        <v>73.3</v>
      </c>
      <c r="M16" cm="1">
        <f t="array" ref="M16">_xll.BDH(B16,"PX_LAST",A16,A16)</f>
        <v>73.3</v>
      </c>
      <c r="N16">
        <f t="shared" si="0"/>
        <v>378090</v>
      </c>
    </row>
    <row r="17" spans="1:14">
      <c r="A17" t="s">
        <v>37</v>
      </c>
      <c r="B17" t="s">
        <v>15</v>
      </c>
      <c r="C17">
        <v>-1</v>
      </c>
      <c r="D17">
        <v>-1342082</v>
      </c>
      <c r="E17">
        <v>20.65</v>
      </c>
      <c r="M17" cm="1">
        <f t="array" ref="M17">_xll.BDH(B17,"PX_LAST",A17,A17)</f>
        <v>20.65</v>
      </c>
      <c r="N17">
        <f t="shared" si="0"/>
        <v>-1342082</v>
      </c>
    </row>
    <row r="18" spans="1:14">
      <c r="A18" t="s">
        <v>37</v>
      </c>
      <c r="B18" t="s">
        <v>16</v>
      </c>
      <c r="C18">
        <v>-1</v>
      </c>
      <c r="D18">
        <v>-246347</v>
      </c>
      <c r="E18">
        <v>112.5</v>
      </c>
      <c r="M18" cm="1">
        <f t="array" ref="M18">_xll.BDH(B18,"PX_LAST",A18,A18)</f>
        <v>112.5</v>
      </c>
      <c r="N18">
        <f t="shared" si="0"/>
        <v>-246347</v>
      </c>
    </row>
    <row r="19" spans="1:14">
      <c r="A19" t="s">
        <v>37</v>
      </c>
      <c r="B19" t="s">
        <v>17</v>
      </c>
      <c r="C19">
        <v>-1</v>
      </c>
      <c r="D19">
        <v>-1166905</v>
      </c>
      <c r="E19">
        <v>23.75</v>
      </c>
      <c r="M19" cm="1">
        <f t="array" ref="M19">_xll.BDH(B19,"PX_LAST",A19,A19)</f>
        <v>23.75</v>
      </c>
      <c r="N19">
        <f t="shared" si="0"/>
        <v>-1166905</v>
      </c>
    </row>
    <row r="20" spans="1:14">
      <c r="A20" t="s">
        <v>37</v>
      </c>
      <c r="B20" t="s">
        <v>18</v>
      </c>
      <c r="C20">
        <v>1</v>
      </c>
      <c r="D20">
        <v>1659521</v>
      </c>
      <c r="E20">
        <v>16.7</v>
      </c>
      <c r="M20" cm="1">
        <f t="array" ref="M20">_xll.BDH(B20,"PX_LAST",A20,A20)</f>
        <v>16.7</v>
      </c>
      <c r="N20">
        <f t="shared" si="0"/>
        <v>1659521</v>
      </c>
    </row>
    <row r="21" spans="1:14">
      <c r="A21" t="s">
        <v>37</v>
      </c>
      <c r="B21" t="s">
        <v>19</v>
      </c>
      <c r="C21">
        <v>-1</v>
      </c>
      <c r="D21">
        <v>-910148</v>
      </c>
      <c r="E21">
        <v>30.45</v>
      </c>
      <c r="M21" cm="1">
        <f t="array" ref="M21">_xll.BDH(B21,"PX_LAST",A21,A21)</f>
        <v>30.45</v>
      </c>
      <c r="N21">
        <f t="shared" si="0"/>
        <v>-910148</v>
      </c>
    </row>
    <row r="22" spans="1:14">
      <c r="A22" t="s">
        <v>37</v>
      </c>
      <c r="B22" t="s">
        <v>20</v>
      </c>
      <c r="C22">
        <v>1</v>
      </c>
      <c r="D22">
        <v>2863017</v>
      </c>
      <c r="E22">
        <v>9.68</v>
      </c>
      <c r="M22" cm="1">
        <f t="array" ref="M22">_xll.BDH(B22,"PX_LAST",A22,A22)</f>
        <v>9.68</v>
      </c>
      <c r="N22">
        <f t="shared" si="0"/>
        <v>2863017</v>
      </c>
    </row>
    <row r="23" spans="1:14">
      <c r="A23" t="s">
        <v>37</v>
      </c>
      <c r="B23" t="s">
        <v>21</v>
      </c>
      <c r="C23">
        <v>-1</v>
      </c>
      <c r="D23">
        <v>-1710741</v>
      </c>
      <c r="E23">
        <v>16.2</v>
      </c>
      <c r="M23" cm="1">
        <f t="array" ref="M23">_xll.BDH(B23,"PX_LAST",A23,A23)</f>
        <v>16.2</v>
      </c>
      <c r="N23">
        <f t="shared" si="0"/>
        <v>-1710741</v>
      </c>
    </row>
    <row r="24" spans="1:14">
      <c r="A24" t="s">
        <v>37</v>
      </c>
      <c r="B24" t="s">
        <v>22</v>
      </c>
      <c r="C24">
        <v>1</v>
      </c>
      <c r="D24">
        <v>817522</v>
      </c>
      <c r="E24">
        <v>33.9</v>
      </c>
      <c r="M24" cm="1">
        <f t="array" ref="M24">_xll.BDH(B24,"PX_LAST",A24,A24)</f>
        <v>33.9</v>
      </c>
      <c r="N24">
        <f t="shared" si="0"/>
        <v>817522</v>
      </c>
    </row>
    <row r="25" spans="1:14">
      <c r="A25" t="s">
        <v>37</v>
      </c>
      <c r="B25" t="s">
        <v>23</v>
      </c>
      <c r="C25">
        <v>1</v>
      </c>
      <c r="D25">
        <v>13892</v>
      </c>
      <c r="E25">
        <v>1995</v>
      </c>
      <c r="M25" cm="1">
        <f t="array" ref="M25">_xll.BDH(B25,"PX_LAST",A25,A25)</f>
        <v>1995</v>
      </c>
      <c r="N25">
        <f t="shared" si="0"/>
        <v>13892</v>
      </c>
    </row>
    <row r="26" spans="1:14">
      <c r="A26" t="s">
        <v>37</v>
      </c>
      <c r="B26" t="s">
        <v>24</v>
      </c>
      <c r="C26">
        <v>1</v>
      </c>
      <c r="D26">
        <v>1552605</v>
      </c>
      <c r="E26">
        <v>17.850000000000001</v>
      </c>
      <c r="M26" cm="1">
        <f t="array" ref="M26">_xll.BDH(B26,"PX_LAST",A26,A26)</f>
        <v>17.850000000000001</v>
      </c>
      <c r="N26">
        <f t="shared" si="0"/>
        <v>1552605</v>
      </c>
    </row>
    <row r="27" spans="1:14">
      <c r="A27" t="s">
        <v>37</v>
      </c>
      <c r="B27" t="s">
        <v>25</v>
      </c>
      <c r="C27">
        <v>1</v>
      </c>
      <c r="D27">
        <v>554835</v>
      </c>
      <c r="E27">
        <v>49.95</v>
      </c>
      <c r="M27" cm="1">
        <f t="array" ref="M27">_xll.BDH(B27,"PX_LAST",A27,A27)</f>
        <v>49.95</v>
      </c>
      <c r="N27">
        <f t="shared" si="0"/>
        <v>554835</v>
      </c>
    </row>
    <row r="28" spans="1:14">
      <c r="A28" t="s">
        <v>37</v>
      </c>
      <c r="B28" t="s">
        <v>26</v>
      </c>
      <c r="C28">
        <v>1</v>
      </c>
      <c r="D28">
        <v>274396</v>
      </c>
      <c r="E28">
        <v>101</v>
      </c>
      <c r="M28" cm="1">
        <f t="array" ref="M28">_xll.BDH(B28,"PX_LAST",A28,A28)</f>
        <v>101</v>
      </c>
      <c r="N28">
        <f t="shared" si="0"/>
        <v>274396</v>
      </c>
    </row>
    <row r="29" spans="1:14">
      <c r="A29" t="s">
        <v>37</v>
      </c>
      <c r="B29" t="s">
        <v>27</v>
      </c>
      <c r="C29">
        <v>-1</v>
      </c>
      <c r="D29">
        <v>-413642</v>
      </c>
      <c r="E29">
        <v>67</v>
      </c>
      <c r="M29" cm="1">
        <f t="array" ref="M29">_xll.BDH(B29,"PX_LAST",A29,A29)</f>
        <v>67</v>
      </c>
      <c r="N29">
        <f t="shared" si="0"/>
        <v>-413642</v>
      </c>
    </row>
    <row r="30" spans="1:14">
      <c r="A30" t="s">
        <v>37</v>
      </c>
      <c r="B30" t="s">
        <v>28</v>
      </c>
      <c r="C30">
        <v>-1</v>
      </c>
      <c r="D30">
        <v>-281646</v>
      </c>
      <c r="E30">
        <v>98.4</v>
      </c>
      <c r="M30" cm="1">
        <f t="array" ref="M30">_xll.BDH(B30,"PX_LAST",A30,A30)</f>
        <v>98.4</v>
      </c>
      <c r="N30">
        <f t="shared" si="0"/>
        <v>-281646</v>
      </c>
    </row>
    <row r="31" spans="1:14">
      <c r="A31" t="s">
        <v>37</v>
      </c>
      <c r="B31" t="s">
        <v>29</v>
      </c>
      <c r="C31">
        <v>1</v>
      </c>
      <c r="D31">
        <v>14940</v>
      </c>
      <c r="E31">
        <v>1855</v>
      </c>
      <c r="M31" cm="1">
        <f t="array" ref="M31">_xll.BDH(B31,"PX_LAST",A31,A31)</f>
        <v>1855</v>
      </c>
      <c r="N31">
        <f t="shared" si="0"/>
        <v>14940</v>
      </c>
    </row>
    <row r="32" spans="1:14">
      <c r="A32" t="s">
        <v>37</v>
      </c>
      <c r="B32" t="s">
        <v>30</v>
      </c>
      <c r="C32">
        <v>-1</v>
      </c>
      <c r="D32">
        <v>-185378</v>
      </c>
      <c r="E32">
        <v>149.5</v>
      </c>
      <c r="M32" cm="1">
        <f t="array" ref="M32">_xll.BDH(B32,"PX_LAST",A32,A32)</f>
        <v>149.5</v>
      </c>
      <c r="N32">
        <f t="shared" si="0"/>
        <v>-185378</v>
      </c>
    </row>
    <row r="33" spans="1:14">
      <c r="A33" t="s">
        <v>37</v>
      </c>
      <c r="B33" t="s">
        <v>31</v>
      </c>
      <c r="C33">
        <v>-1</v>
      </c>
      <c r="D33">
        <v>-114521</v>
      </c>
      <c r="E33">
        <v>242</v>
      </c>
      <c r="M33" cm="1">
        <f t="array" ref="M33">_xll.BDH(B33,"PX_LAST",A33,A33)</f>
        <v>242</v>
      </c>
      <c r="N33">
        <f t="shared" si="0"/>
        <v>-114521</v>
      </c>
    </row>
    <row r="34" spans="1:14">
      <c r="A34" t="s">
        <v>37</v>
      </c>
      <c r="B34" t="s">
        <v>32</v>
      </c>
      <c r="C34">
        <v>1</v>
      </c>
      <c r="D34">
        <v>285123</v>
      </c>
      <c r="E34">
        <v>97.2</v>
      </c>
      <c r="M34" cm="1">
        <f t="array" ref="M34">_xll.BDH(B34,"PX_LAST",A34,A34)</f>
        <v>97.2</v>
      </c>
      <c r="N34">
        <f t="shared" si="0"/>
        <v>285123</v>
      </c>
    </row>
    <row r="35" spans="1:14">
      <c r="A35" t="s">
        <v>37</v>
      </c>
      <c r="B35" t="s">
        <v>33</v>
      </c>
      <c r="C35">
        <v>1</v>
      </c>
      <c r="D35">
        <v>6200</v>
      </c>
      <c r="E35">
        <v>4470</v>
      </c>
      <c r="M35" cm="1">
        <f t="array" ref="M35">_xll.BDH(B35,"PX_LAST",A35,A35)</f>
        <v>4470</v>
      </c>
      <c r="N35">
        <f t="shared" si="0"/>
        <v>6200</v>
      </c>
    </row>
    <row r="36" spans="1:14">
      <c r="A36" t="s">
        <v>37</v>
      </c>
      <c r="B36" t="s">
        <v>34</v>
      </c>
      <c r="C36">
        <v>-1</v>
      </c>
      <c r="D36">
        <v>-33552</v>
      </c>
      <c r="E36">
        <v>826</v>
      </c>
      <c r="M36" cm="1">
        <f t="array" ref="M36">_xll.BDH(B36,"PX_LAST",A36,A36)</f>
        <v>826</v>
      </c>
      <c r="N36">
        <f t="shared" si="0"/>
        <v>-33552</v>
      </c>
    </row>
    <row r="37" spans="1:14">
      <c r="A37" t="s">
        <v>37</v>
      </c>
      <c r="B37" t="s">
        <v>35</v>
      </c>
      <c r="C37">
        <v>1</v>
      </c>
      <c r="D37">
        <v>285123</v>
      </c>
      <c r="E37">
        <v>97.2</v>
      </c>
      <c r="M37" cm="1">
        <f t="array" ref="M37">_xll.BDH(B37,"PX_LAST",A37,A37)</f>
        <v>97.2</v>
      </c>
      <c r="N37">
        <f t="shared" si="0"/>
        <v>285123</v>
      </c>
    </row>
    <row r="38" spans="1:14">
      <c r="A38" t="s">
        <v>37</v>
      </c>
      <c r="B38" t="s">
        <v>36</v>
      </c>
      <c r="C38">
        <v>1</v>
      </c>
      <c r="D38">
        <v>66381</v>
      </c>
      <c r="E38">
        <v>417.5</v>
      </c>
      <c r="M38" cm="1">
        <f t="array" ref="M38">_xll.BDH(B38,"PX_LAST",A38,A38)</f>
        <v>417.5</v>
      </c>
      <c r="N38">
        <f t="shared" si="0"/>
        <v>66381</v>
      </c>
    </row>
    <row r="39" spans="1:14">
      <c r="A39" t="s">
        <v>45</v>
      </c>
      <c r="B39" t="s">
        <v>12</v>
      </c>
      <c r="C39">
        <v>-1</v>
      </c>
      <c r="D39">
        <v>-168988</v>
      </c>
      <c r="E39">
        <v>164</v>
      </c>
      <c r="M39" cm="1">
        <f t="array" ref="M39">_xll.BDH(B39,"PX_OPEN",A39,A39)</f>
        <v>164</v>
      </c>
      <c r="N39">
        <f t="shared" si="0"/>
        <v>-168988</v>
      </c>
    </row>
    <row r="40" spans="1:14">
      <c r="A40" t="s">
        <v>45</v>
      </c>
      <c r="B40" t="s">
        <v>40</v>
      </c>
      <c r="C40">
        <v>-1</v>
      </c>
      <c r="D40">
        <v>-50758</v>
      </c>
      <c r="E40">
        <v>546</v>
      </c>
      <c r="M40" cm="1">
        <f t="array" ref="M40">_xll.BDH(B40,"PX_OPEN",A40,A40)</f>
        <v>546</v>
      </c>
      <c r="N40">
        <f t="shared" si="0"/>
        <v>-50758</v>
      </c>
    </row>
    <row r="41" spans="1:14">
      <c r="A41" t="s">
        <v>45</v>
      </c>
      <c r="B41" t="s">
        <v>41</v>
      </c>
      <c r="C41">
        <v>1</v>
      </c>
      <c r="D41">
        <v>348604</v>
      </c>
      <c r="E41">
        <v>79.5</v>
      </c>
      <c r="M41" cm="1">
        <f t="array" ref="M41">_xll.BDH(B41,"PX_OPEN",A41,A41)</f>
        <v>79.5</v>
      </c>
      <c r="N41">
        <f t="shared" si="0"/>
        <v>348604</v>
      </c>
    </row>
    <row r="42" spans="1:14">
      <c r="A42" t="s">
        <v>45</v>
      </c>
      <c r="B42" t="s">
        <v>42</v>
      </c>
      <c r="C42">
        <v>1</v>
      </c>
      <c r="D42">
        <v>78510</v>
      </c>
      <c r="E42">
        <v>353</v>
      </c>
      <c r="M42" cm="1">
        <f t="array" ref="M42">_xll.BDH(B42,"PX_OPEN",A42,A42)</f>
        <v>353</v>
      </c>
      <c r="N42">
        <f t="shared" si="0"/>
        <v>78510</v>
      </c>
    </row>
    <row r="43" spans="1:14">
      <c r="A43" t="s">
        <v>45</v>
      </c>
      <c r="B43" t="s">
        <v>18</v>
      </c>
      <c r="C43">
        <v>-1</v>
      </c>
      <c r="D43">
        <v>-1684742</v>
      </c>
      <c r="E43">
        <v>16.45</v>
      </c>
      <c r="M43" cm="1">
        <f t="array" ref="M43">_xll.BDH(B43,"PX_OPEN",A43,A43)</f>
        <v>16.45</v>
      </c>
      <c r="N43">
        <f t="shared" si="0"/>
        <v>-1684742</v>
      </c>
    </row>
    <row r="44" spans="1:14">
      <c r="A44" t="s">
        <v>45</v>
      </c>
      <c r="B44" t="s">
        <v>43</v>
      </c>
      <c r="C44">
        <v>1</v>
      </c>
      <c r="D44">
        <v>379124</v>
      </c>
      <c r="E44">
        <v>73.099999999999994</v>
      </c>
      <c r="M44" cm="1">
        <f t="array" ref="M44">_xll.BDH(B44,"PX_OPEN",A44,A44)</f>
        <v>73.099999999999994</v>
      </c>
      <c r="N44">
        <f t="shared" si="0"/>
        <v>379124</v>
      </c>
    </row>
    <row r="45" spans="1:14">
      <c r="A45" t="s">
        <v>45</v>
      </c>
      <c r="B45" t="s">
        <v>22</v>
      </c>
      <c r="C45">
        <v>-1</v>
      </c>
      <c r="D45">
        <v>-821156</v>
      </c>
      <c r="E45">
        <v>33.75</v>
      </c>
      <c r="M45" cm="1">
        <f t="array" ref="M45">_xll.BDH(B45,"PX_OPEN",A45,A45)</f>
        <v>33.75</v>
      </c>
      <c r="N45">
        <f t="shared" si="0"/>
        <v>-821156</v>
      </c>
    </row>
    <row r="46" spans="1:14">
      <c r="A46" t="s">
        <v>45</v>
      </c>
      <c r="B46" t="s">
        <v>23</v>
      </c>
      <c r="C46">
        <v>-1</v>
      </c>
      <c r="D46">
        <v>-13857</v>
      </c>
      <c r="E46">
        <v>2000</v>
      </c>
      <c r="M46" cm="1">
        <f t="array" ref="M46">_xll.BDH(B46,"PX_OPEN",A46,A46)</f>
        <v>2000</v>
      </c>
      <c r="N46">
        <f t="shared" si="0"/>
        <v>-13857</v>
      </c>
    </row>
    <row r="47" spans="1:14">
      <c r="A47" t="s">
        <v>45</v>
      </c>
      <c r="B47" t="s">
        <v>44</v>
      </c>
      <c r="C47">
        <v>-1</v>
      </c>
      <c r="D47">
        <v>-1176815</v>
      </c>
      <c r="E47">
        <v>23.55</v>
      </c>
      <c r="M47" cm="1">
        <f t="array" ref="M47">_xll.BDH(B47,"PX_OPEN",A47,A47)</f>
        <v>23.55</v>
      </c>
      <c r="N47">
        <f t="shared" si="0"/>
        <v>-1176815</v>
      </c>
    </row>
    <row r="48" spans="1:14">
      <c r="A48" t="s">
        <v>46</v>
      </c>
      <c r="B48" t="s">
        <v>1</v>
      </c>
      <c r="C48">
        <v>1</v>
      </c>
      <c r="D48">
        <v>594721</v>
      </c>
      <c r="E48">
        <v>46.6</v>
      </c>
      <c r="M48" cm="1">
        <f t="array" ref="M48">_xll.BDH(B48,"PX_OPEN",A48,A48)</f>
        <v>46.6</v>
      </c>
      <c r="N48">
        <f t="shared" si="0"/>
        <v>594721</v>
      </c>
    </row>
    <row r="49" spans="1:14">
      <c r="A49" t="s">
        <v>46</v>
      </c>
      <c r="B49" t="s">
        <v>12</v>
      </c>
      <c r="C49">
        <v>-1</v>
      </c>
      <c r="D49">
        <v>-169505</v>
      </c>
      <c r="E49">
        <v>163.5</v>
      </c>
      <c r="M49" cm="1">
        <f t="array" ref="M49">_xll.BDH(B49,"PX_OPEN",A49,A49)</f>
        <v>163.5</v>
      </c>
      <c r="N49">
        <f t="shared" si="0"/>
        <v>-169505</v>
      </c>
    </row>
    <row r="50" spans="1:14">
      <c r="A50" t="s">
        <v>46</v>
      </c>
      <c r="B50" t="s">
        <v>40</v>
      </c>
      <c r="C50">
        <v>1</v>
      </c>
      <c r="D50">
        <v>50481</v>
      </c>
      <c r="E50">
        <v>549</v>
      </c>
      <c r="M50" cm="1">
        <f t="array" ref="M50">_xll.BDH(B50,"PX_OPEN",A50,A50)</f>
        <v>549</v>
      </c>
      <c r="N50">
        <f t="shared" si="0"/>
        <v>50481</v>
      </c>
    </row>
    <row r="51" spans="1:14">
      <c r="A51" t="s">
        <v>46</v>
      </c>
      <c r="B51" t="s">
        <v>41</v>
      </c>
      <c r="C51">
        <v>-1</v>
      </c>
      <c r="D51">
        <v>-342571</v>
      </c>
      <c r="E51">
        <v>80.900000000000006</v>
      </c>
      <c r="M51" cm="1">
        <f t="array" ref="M51">_xll.BDH(B51,"PX_OPEN",A51,A51)</f>
        <v>80.900000000000006</v>
      </c>
      <c r="N51">
        <f t="shared" si="0"/>
        <v>-342571</v>
      </c>
    </row>
    <row r="52" spans="1:14">
      <c r="A52" t="s">
        <v>46</v>
      </c>
      <c r="B52" t="s">
        <v>14</v>
      </c>
      <c r="C52">
        <v>-1</v>
      </c>
      <c r="D52">
        <v>-353946</v>
      </c>
      <c r="E52">
        <v>78.3</v>
      </c>
      <c r="M52" cm="1">
        <f t="array" ref="M52">_xll.BDH(B52,"PX_OPEN",A52,A52)</f>
        <v>78.3</v>
      </c>
      <c r="N52">
        <f t="shared" si="0"/>
        <v>-353946</v>
      </c>
    </row>
    <row r="53" spans="1:14">
      <c r="A53" t="s">
        <v>52</v>
      </c>
      <c r="B53" t="s">
        <v>47</v>
      </c>
      <c r="C53">
        <v>-1</v>
      </c>
      <c r="D53">
        <v>-96902</v>
      </c>
      <c r="E53">
        <v>286</v>
      </c>
      <c r="M53" cm="1">
        <f t="array" ref="M53">_xll.BDH(B53,"PX_OPEN",A53,A53)</f>
        <v>286</v>
      </c>
      <c r="N53">
        <f t="shared" si="0"/>
        <v>-96902</v>
      </c>
    </row>
    <row r="54" spans="1:14">
      <c r="A54" t="s">
        <v>52</v>
      </c>
      <c r="B54" t="s">
        <v>48</v>
      </c>
      <c r="C54">
        <v>1</v>
      </c>
      <c r="D54">
        <v>44700</v>
      </c>
      <c r="E54">
        <v>620</v>
      </c>
      <c r="M54" cm="1">
        <f t="array" ref="M54">_xll.BDH(B54,"PX_OPEN",A54,A54)</f>
        <v>620</v>
      </c>
      <c r="N54">
        <f t="shared" si="0"/>
        <v>44700</v>
      </c>
    </row>
    <row r="55" spans="1:14">
      <c r="A55" t="s">
        <v>52</v>
      </c>
      <c r="B55" t="s">
        <v>25</v>
      </c>
      <c r="C55">
        <v>-1</v>
      </c>
      <c r="D55">
        <v>-553174</v>
      </c>
      <c r="E55">
        <v>50.1</v>
      </c>
      <c r="M55" cm="1">
        <f t="array" ref="M55">_xll.BDH(B55,"PX_OPEN",A55,A55)</f>
        <v>50.1</v>
      </c>
      <c r="N55">
        <f t="shared" si="0"/>
        <v>-553174</v>
      </c>
    </row>
    <row r="56" spans="1:14">
      <c r="A56" t="s">
        <v>52</v>
      </c>
      <c r="B56" t="s">
        <v>26</v>
      </c>
      <c r="C56">
        <v>-1</v>
      </c>
      <c r="D56">
        <v>-259009</v>
      </c>
      <c r="E56">
        <v>107</v>
      </c>
      <c r="M56" cm="1">
        <f t="array" ref="M56">_xll.BDH(B56,"PX_OPEN",A56,A56)</f>
        <v>107</v>
      </c>
      <c r="N56">
        <f t="shared" si="0"/>
        <v>-259009</v>
      </c>
    </row>
    <row r="57" spans="1:14">
      <c r="A57" t="s">
        <v>52</v>
      </c>
      <c r="B57" t="s">
        <v>36</v>
      </c>
      <c r="C57">
        <v>-1</v>
      </c>
      <c r="D57">
        <v>-59987</v>
      </c>
      <c r="E57">
        <v>462</v>
      </c>
      <c r="M57" cm="1">
        <f t="array" ref="M57">_xll.BDH(B57,"PX_OPEN",A57,A57)</f>
        <v>462</v>
      </c>
      <c r="N57">
        <f t="shared" si="0"/>
        <v>-59987</v>
      </c>
    </row>
    <row r="58" spans="1:14">
      <c r="A58" t="s">
        <v>52</v>
      </c>
      <c r="B58" t="s">
        <v>49</v>
      </c>
      <c r="C58">
        <v>-1</v>
      </c>
      <c r="D58">
        <v>-72266</v>
      </c>
      <c r="E58">
        <v>383.5</v>
      </c>
      <c r="M58" cm="1">
        <f t="array" ref="M58">_xll.BDH(B58,"PX_OPEN",A58,A58)</f>
        <v>383.5</v>
      </c>
      <c r="N58">
        <f t="shared" si="0"/>
        <v>-72266</v>
      </c>
    </row>
    <row r="59" spans="1:14">
      <c r="A59" t="s">
        <v>52</v>
      </c>
      <c r="B59" t="s">
        <v>50</v>
      </c>
      <c r="C59">
        <v>1</v>
      </c>
      <c r="D59">
        <v>136522</v>
      </c>
      <c r="E59">
        <v>203</v>
      </c>
      <c r="M59" cm="1">
        <f t="array" ref="M59">_xll.BDH(B59,"PX_OPEN",A59,A59)</f>
        <v>203</v>
      </c>
      <c r="N59">
        <f t="shared" si="0"/>
        <v>136522</v>
      </c>
    </row>
    <row r="60" spans="1:14">
      <c r="A60" t="s">
        <v>52</v>
      </c>
      <c r="B60" t="s">
        <v>51</v>
      </c>
      <c r="C60">
        <v>-1</v>
      </c>
      <c r="D60">
        <v>-87981</v>
      </c>
      <c r="E60">
        <v>315</v>
      </c>
      <c r="M60" cm="1">
        <f t="array" ref="M60">_xll.BDH(B60,"PX_OPEN",A60,A60)</f>
        <v>315</v>
      </c>
      <c r="N60">
        <f t="shared" si="0"/>
        <v>-87981</v>
      </c>
    </row>
    <row r="63" spans="1:14">
      <c r="A63" t="s">
        <v>37</v>
      </c>
      <c r="B63" t="s">
        <v>67</v>
      </c>
      <c r="C63">
        <v>-1</v>
      </c>
      <c r="D63">
        <v>-318180</v>
      </c>
      <c r="E63">
        <v>23.95</v>
      </c>
      <c r="M63" cm="1">
        <f t="array" ref="M63">_xll.BDH(B63,"PX_LAST",A63,A63)</f>
        <v>23.95</v>
      </c>
      <c r="N63">
        <f>ROUND($J$1*C63*$P$1/M63,0)</f>
        <v>-325486</v>
      </c>
    </row>
    <row r="64" spans="1:14">
      <c r="A64" t="s">
        <v>37</v>
      </c>
      <c r="B64" t="s">
        <v>68</v>
      </c>
      <c r="C64">
        <v>1</v>
      </c>
      <c r="D64">
        <v>1070797</v>
      </c>
      <c r="E64">
        <v>7.16</v>
      </c>
      <c r="M64" cm="1">
        <f t="array" ref="M64">_xll.BDH(B64,"PX_LAST",A64,A64)</f>
        <v>7.16</v>
      </c>
      <c r="N64">
        <f t="shared" ref="N64:N87" si="1">ROUND($J$1*C64*$P$1/M64,0)</f>
        <v>1088743</v>
      </c>
    </row>
    <row r="65" spans="1:14">
      <c r="A65" t="s">
        <v>37</v>
      </c>
      <c r="B65" t="s">
        <v>69</v>
      </c>
      <c r="C65">
        <v>-1</v>
      </c>
      <c r="D65">
        <v>-716489</v>
      </c>
      <c r="E65">
        <v>10.84</v>
      </c>
      <c r="M65" cm="1">
        <f t="array" ref="M65">_xll.BDH(B65,"PX_LAST",A65,A65)</f>
        <v>10.84</v>
      </c>
      <c r="N65">
        <f t="shared" si="1"/>
        <v>-719133</v>
      </c>
    </row>
    <row r="66" spans="1:14">
      <c r="A66" t="s">
        <v>37</v>
      </c>
      <c r="B66" t="s">
        <v>71</v>
      </c>
      <c r="C66">
        <v>-1</v>
      </c>
      <c r="D66">
        <v>-119653</v>
      </c>
      <c r="E66">
        <v>65.5</v>
      </c>
      <c r="M66" cm="1">
        <f t="array" ref="M66">_xll.BDH(B66,"PX_LAST",A66,A66)</f>
        <v>65.5</v>
      </c>
      <c r="N66">
        <f t="shared" si="1"/>
        <v>-119014</v>
      </c>
    </row>
    <row r="67" spans="1:14">
      <c r="A67" t="s">
        <v>37</v>
      </c>
      <c r="B67" t="s">
        <v>72</v>
      </c>
      <c r="C67">
        <v>-1</v>
      </c>
      <c r="D67">
        <v>-438436</v>
      </c>
      <c r="E67">
        <v>17.559999999999999</v>
      </c>
      <c r="M67" cm="1">
        <f t="array" ref="M67">_xll.BDH(B67,"PX_LAST",A67,A67)</f>
        <v>17.559999999999999</v>
      </c>
      <c r="N67">
        <f t="shared" si="1"/>
        <v>-443929</v>
      </c>
    </row>
    <row r="68" spans="1:14">
      <c r="A68" t="s">
        <v>37</v>
      </c>
      <c r="B68" t="s">
        <v>73</v>
      </c>
      <c r="C68">
        <v>-1</v>
      </c>
      <c r="D68">
        <v>-2220912</v>
      </c>
      <c r="E68">
        <v>3.52</v>
      </c>
      <c r="M68" cm="1">
        <f t="array" ref="M68">_xll.BDH(B68,"PX_LAST",A68,A68)</f>
        <v>3.52</v>
      </c>
      <c r="N68">
        <f t="shared" si="1"/>
        <v>-2214602</v>
      </c>
    </row>
    <row r="69" spans="1:14">
      <c r="A69" t="s">
        <v>37</v>
      </c>
      <c r="B69" t="s">
        <v>74</v>
      </c>
      <c r="C69">
        <v>1</v>
      </c>
      <c r="D69">
        <v>16873</v>
      </c>
      <c r="E69">
        <v>462.4</v>
      </c>
      <c r="M69" cm="1">
        <f t="array" ref="M69">_xll.BDH(B69,"PX_LAST",A69,A69)</f>
        <v>462.4</v>
      </c>
      <c r="N69">
        <f t="shared" si="1"/>
        <v>16859</v>
      </c>
    </row>
    <row r="70" spans="1:14">
      <c r="A70" t="s">
        <v>37</v>
      </c>
      <c r="B70" t="s">
        <v>75</v>
      </c>
      <c r="C70">
        <v>1</v>
      </c>
      <c r="D70">
        <v>1963577</v>
      </c>
      <c r="E70">
        <v>3.96</v>
      </c>
      <c r="M70" cm="1">
        <f t="array" ref="M70">_xll.BDH(B70,"PX_LAST",A70,A70)</f>
        <v>3.96</v>
      </c>
      <c r="N70">
        <f t="shared" si="1"/>
        <v>1968535</v>
      </c>
    </row>
    <row r="71" spans="1:14">
      <c r="A71" t="s">
        <v>37</v>
      </c>
      <c r="B71" t="s">
        <v>76</v>
      </c>
      <c r="C71">
        <v>-1</v>
      </c>
      <c r="D71">
        <v>-1525519</v>
      </c>
      <c r="E71">
        <v>5.07</v>
      </c>
      <c r="M71" cm="1">
        <f t="array" ref="M71">_xll.BDH(B71,"PX_LAST",A71,A71)</f>
        <v>5.07</v>
      </c>
      <c r="N71">
        <f t="shared" si="1"/>
        <v>-1537554</v>
      </c>
    </row>
    <row r="72" spans="1:14">
      <c r="A72" t="s">
        <v>37</v>
      </c>
      <c r="B72" t="s">
        <v>77</v>
      </c>
      <c r="C72">
        <v>-1</v>
      </c>
      <c r="D72">
        <v>-195129</v>
      </c>
      <c r="E72">
        <v>38.6</v>
      </c>
      <c r="M72" cm="1">
        <f t="array" ref="M72">_xll.BDH(B72,"PX_LAST",A72,A72)</f>
        <v>38.6</v>
      </c>
      <c r="N72">
        <f t="shared" si="1"/>
        <v>-201953</v>
      </c>
    </row>
    <row r="73" spans="1:14">
      <c r="A73" t="s">
        <v>37</v>
      </c>
      <c r="B73" t="s">
        <v>78</v>
      </c>
      <c r="C73">
        <v>-1</v>
      </c>
      <c r="D73">
        <v>-701025</v>
      </c>
      <c r="E73">
        <v>11</v>
      </c>
      <c r="M73" cm="1">
        <f t="array" ref="M73">_xll.BDH(B73,"PX_LAST",A73,A73)</f>
        <v>11</v>
      </c>
      <c r="N73">
        <f t="shared" si="1"/>
        <v>-708673</v>
      </c>
    </row>
    <row r="74" spans="1:14">
      <c r="A74" t="s">
        <v>37</v>
      </c>
      <c r="B74" t="s">
        <v>53</v>
      </c>
      <c r="C74">
        <v>1</v>
      </c>
      <c r="D74">
        <v>204068</v>
      </c>
      <c r="E74">
        <v>38.549999999999997</v>
      </c>
      <c r="M74" cm="1">
        <f t="array" ref="M74">_xll.BDH(B74,"PX_LAST",A74,A74)</f>
        <v>38.549999999999997</v>
      </c>
      <c r="N74">
        <f t="shared" si="1"/>
        <v>202215</v>
      </c>
    </row>
    <row r="75" spans="1:14">
      <c r="A75" t="s">
        <v>37</v>
      </c>
      <c r="B75" t="s">
        <v>54</v>
      </c>
      <c r="C75">
        <v>1</v>
      </c>
      <c r="D75">
        <v>476491</v>
      </c>
      <c r="E75">
        <v>16.54</v>
      </c>
      <c r="M75" cm="1">
        <f t="array" ref="M75">_xll.BDH(B75,"PX_LAST",A75,A75)</f>
        <v>16.54</v>
      </c>
      <c r="N75">
        <f t="shared" si="1"/>
        <v>471306</v>
      </c>
    </row>
    <row r="76" spans="1:14">
      <c r="A76" t="s">
        <v>37</v>
      </c>
      <c r="B76" t="s">
        <v>55</v>
      </c>
      <c r="C76">
        <v>-1</v>
      </c>
      <c r="D76">
        <v>-920354</v>
      </c>
      <c r="E76">
        <v>8.27</v>
      </c>
      <c r="M76" cm="1">
        <f t="array" ref="M76">_xll.BDH(B76,"PX_LAST",A76,A76)</f>
        <v>8.27</v>
      </c>
      <c r="N76">
        <f t="shared" si="1"/>
        <v>-942612</v>
      </c>
    </row>
    <row r="77" spans="1:14">
      <c r="A77" t="s">
        <v>37</v>
      </c>
      <c r="B77" t="s">
        <v>56</v>
      </c>
      <c r="C77">
        <v>1</v>
      </c>
      <c r="D77">
        <v>187164</v>
      </c>
      <c r="E77">
        <v>41.65</v>
      </c>
      <c r="M77" cm="1">
        <f t="array" ref="M77">_xll.BDH(B77,"PX_LAST",A77,A77)</f>
        <v>41.65</v>
      </c>
      <c r="N77">
        <f t="shared" si="1"/>
        <v>187164</v>
      </c>
    </row>
    <row r="78" spans="1:14">
      <c r="A78" t="s">
        <v>37</v>
      </c>
      <c r="B78" t="s">
        <v>57</v>
      </c>
      <c r="C78">
        <v>1</v>
      </c>
      <c r="D78">
        <v>1407112</v>
      </c>
      <c r="E78">
        <v>5.41</v>
      </c>
      <c r="M78" cm="1">
        <f t="array" ref="M78">_xll.BDH(B78,"PX_LAST",A78,A78)</f>
        <v>5.41</v>
      </c>
      <c r="N78">
        <f t="shared" si="1"/>
        <v>1440924</v>
      </c>
    </row>
    <row r="79" spans="1:14">
      <c r="A79" t="s">
        <v>37</v>
      </c>
      <c r="B79" t="s">
        <v>58</v>
      </c>
      <c r="C79">
        <v>-1</v>
      </c>
      <c r="D79">
        <v>-408993</v>
      </c>
      <c r="E79">
        <v>19.3</v>
      </c>
      <c r="M79" cm="1">
        <f t="array" ref="M79">_xll.BDH(B79,"PX_LAST",A79,A79)</f>
        <v>19.3</v>
      </c>
      <c r="N79">
        <f t="shared" si="1"/>
        <v>-403907</v>
      </c>
    </row>
    <row r="80" spans="1:14">
      <c r="A80" t="s">
        <v>37</v>
      </c>
      <c r="B80" t="s">
        <v>59</v>
      </c>
      <c r="C80">
        <v>1</v>
      </c>
      <c r="D80">
        <v>60902</v>
      </c>
      <c r="E80">
        <v>122.9</v>
      </c>
      <c r="M80" cm="1">
        <f t="array" ref="M80">_xll.BDH(B80,"PX_LAST",A80,A80)</f>
        <v>122.9</v>
      </c>
      <c r="N80">
        <f t="shared" si="1"/>
        <v>63429</v>
      </c>
    </row>
    <row r="81" spans="1:14">
      <c r="A81" t="s">
        <v>37</v>
      </c>
      <c r="B81" t="s">
        <v>60</v>
      </c>
      <c r="C81">
        <v>-1</v>
      </c>
      <c r="D81">
        <v>-426911</v>
      </c>
      <c r="E81">
        <v>18.16</v>
      </c>
      <c r="M81" cm="1">
        <f t="array" ref="M81">_xll.BDH(B81,"PX_LAST",A81,A81)</f>
        <v>18.16</v>
      </c>
      <c r="N81">
        <f t="shared" si="1"/>
        <v>-429262</v>
      </c>
    </row>
    <row r="82" spans="1:14">
      <c r="A82" t="s">
        <v>37</v>
      </c>
      <c r="B82" t="s">
        <v>61</v>
      </c>
      <c r="C82">
        <v>-1</v>
      </c>
      <c r="D82">
        <v>-49939</v>
      </c>
      <c r="E82">
        <v>152</v>
      </c>
      <c r="M82" cm="1">
        <f t="array" ref="M82">_xll.BDH(B82,"PX_LAST",A82,A82)</f>
        <v>152</v>
      </c>
      <c r="N82">
        <f t="shared" si="1"/>
        <v>-51286</v>
      </c>
    </row>
    <row r="83" spans="1:14">
      <c r="A83" t="s">
        <v>37</v>
      </c>
      <c r="B83" t="s">
        <v>62</v>
      </c>
      <c r="C83">
        <v>1</v>
      </c>
      <c r="D83">
        <v>139577</v>
      </c>
      <c r="E83">
        <v>55.55</v>
      </c>
      <c r="M83" cm="1">
        <f t="array" ref="M83">_xll.BDH(B83,"PX_LAST",A83,A83)</f>
        <v>55.55</v>
      </c>
      <c r="N83">
        <f t="shared" si="1"/>
        <v>140331</v>
      </c>
    </row>
    <row r="84" spans="1:14">
      <c r="A84" t="s">
        <v>37</v>
      </c>
      <c r="B84" t="s">
        <v>63</v>
      </c>
      <c r="C84">
        <v>-1</v>
      </c>
      <c r="D84">
        <v>-171139</v>
      </c>
      <c r="E84">
        <v>45.7</v>
      </c>
      <c r="M84" cm="1">
        <f t="array" ref="M84">_xll.BDH(B84,"PX_LAST",A84,A84)</f>
        <v>45.7</v>
      </c>
      <c r="N84">
        <f t="shared" si="1"/>
        <v>-170578</v>
      </c>
    </row>
    <row r="85" spans="1:14">
      <c r="A85" t="s">
        <v>37</v>
      </c>
      <c r="B85" t="s">
        <v>64</v>
      </c>
      <c r="C85">
        <v>1</v>
      </c>
      <c r="D85">
        <v>33893</v>
      </c>
      <c r="E85">
        <v>237.6</v>
      </c>
      <c r="M85" cm="1">
        <f t="array" ref="M85">_xll.BDH(B85,"PX_LAST",A85,A85)</f>
        <v>237.6</v>
      </c>
      <c r="N85">
        <f t="shared" si="1"/>
        <v>32809</v>
      </c>
    </row>
    <row r="86" spans="1:14">
      <c r="A86" t="s">
        <v>37</v>
      </c>
      <c r="B86" t="s">
        <v>65</v>
      </c>
      <c r="C86">
        <v>1</v>
      </c>
      <c r="D86">
        <v>52004</v>
      </c>
      <c r="E86">
        <v>150</v>
      </c>
      <c r="M86" cm="1">
        <f t="array" ref="M86">_xll.BDH(B86,"PX_LAST",A86,A86)</f>
        <v>150</v>
      </c>
      <c r="N86">
        <f t="shared" si="1"/>
        <v>51969</v>
      </c>
    </row>
    <row r="87" spans="1:14">
      <c r="A87" t="s">
        <v>37</v>
      </c>
      <c r="B87" t="s">
        <v>66</v>
      </c>
      <c r="C87">
        <v>1</v>
      </c>
      <c r="D87">
        <v>1655074</v>
      </c>
      <c r="E87">
        <v>4.6500000000000004</v>
      </c>
      <c r="M87" cm="1">
        <f t="array" ref="M87">_xll.BDH(B87,"PX_LAST",A87,A87)</f>
        <v>4.6500000000000004</v>
      </c>
      <c r="N87">
        <f t="shared" si="1"/>
        <v>1676430</v>
      </c>
    </row>
    <row r="88" spans="1:14">
      <c r="A88" t="s">
        <v>45</v>
      </c>
      <c r="B88" t="s">
        <v>73</v>
      </c>
      <c r="C88">
        <v>1</v>
      </c>
      <c r="D88">
        <v>2272711</v>
      </c>
      <c r="E88">
        <v>3.43</v>
      </c>
      <c r="M88" cm="1">
        <f t="array" ref="M88">_xll.BDH(B88,"PX_OPEN",A88,A88)</f>
        <v>3.43</v>
      </c>
      <c r="N88">
        <f t="shared" ref="N88:N94" si="2">ROUND($J$1*C88*$P$1/M88,0)</f>
        <v>2272711</v>
      </c>
    </row>
    <row r="89" spans="1:14">
      <c r="A89" t="s">
        <v>45</v>
      </c>
      <c r="B89" t="s">
        <v>81</v>
      </c>
      <c r="C89">
        <v>1</v>
      </c>
      <c r="D89">
        <v>205142</v>
      </c>
      <c r="E89">
        <v>38</v>
      </c>
      <c r="M89" cm="1">
        <f t="array" ref="M89">_xll.BDH(B89,"PX_OPEN",A89,A89)</f>
        <v>38</v>
      </c>
      <c r="N89">
        <f t="shared" si="2"/>
        <v>205142</v>
      </c>
    </row>
    <row r="90" spans="1:14">
      <c r="A90" t="s">
        <v>45</v>
      </c>
      <c r="B90" t="s">
        <v>78</v>
      </c>
      <c r="C90">
        <v>1</v>
      </c>
      <c r="D90">
        <v>716489</v>
      </c>
      <c r="E90">
        <v>10.88</v>
      </c>
      <c r="M90" cm="1">
        <f t="array" ref="M90">_xll.BDH(B90,"PX_OPEN",A90,A90)</f>
        <v>10.88</v>
      </c>
      <c r="N90">
        <f t="shared" si="2"/>
        <v>716489</v>
      </c>
    </row>
    <row r="91" spans="1:14">
      <c r="A91" t="s">
        <v>45</v>
      </c>
      <c r="B91" t="s">
        <v>82</v>
      </c>
      <c r="C91">
        <v>1</v>
      </c>
      <c r="D91">
        <v>2320060</v>
      </c>
      <c r="E91">
        <v>3.36</v>
      </c>
      <c r="M91" cm="1">
        <f t="array" ref="M91">_xll.BDH(B91,"PX_OPEN",A91,A91)</f>
        <v>3.36</v>
      </c>
      <c r="N91">
        <f t="shared" si="2"/>
        <v>2320060</v>
      </c>
    </row>
    <row r="92" spans="1:14">
      <c r="A92" t="s">
        <v>45</v>
      </c>
      <c r="B92" t="s">
        <v>57</v>
      </c>
      <c r="C92">
        <v>-1</v>
      </c>
      <c r="D92">
        <v>-1459813</v>
      </c>
      <c r="E92">
        <v>5.34</v>
      </c>
      <c r="M92" cm="1">
        <f t="array" ref="M92">_xll.BDH(B92,"PX_OPEN",A92,A92)</f>
        <v>5.34</v>
      </c>
      <c r="N92">
        <f t="shared" si="2"/>
        <v>-1459813</v>
      </c>
    </row>
    <row r="93" spans="1:14">
      <c r="A93" t="s">
        <v>45</v>
      </c>
      <c r="B93" t="s">
        <v>79</v>
      </c>
      <c r="C93">
        <v>-1</v>
      </c>
      <c r="D93">
        <v>-1175777</v>
      </c>
      <c r="E93">
        <v>6.63</v>
      </c>
      <c r="M93" cm="1">
        <f t="array" ref="M93">_xll.BDH(B93,"PX_OPEN",A93,A93)</f>
        <v>6.63</v>
      </c>
      <c r="N93">
        <f t="shared" si="2"/>
        <v>-1175777</v>
      </c>
    </row>
    <row r="94" spans="1:14">
      <c r="A94" t="s">
        <v>45</v>
      </c>
      <c r="B94" t="s">
        <v>80</v>
      </c>
      <c r="C94">
        <v>1</v>
      </c>
      <c r="D94">
        <v>2865956</v>
      </c>
      <c r="E94">
        <v>2.7199999999999998</v>
      </c>
      <c r="M94" cm="1">
        <f t="array" ref="M94">_xll.BDH(B94,"PX_OPEN",A94,A94)</f>
        <v>2.7199999999999998</v>
      </c>
      <c r="N94">
        <f t="shared" si="2"/>
        <v>2865956</v>
      </c>
    </row>
    <row r="95" spans="1:14">
      <c r="A95" t="s">
        <v>46</v>
      </c>
      <c r="B95" t="s">
        <v>67</v>
      </c>
      <c r="C95">
        <v>1</v>
      </c>
      <c r="D95">
        <v>341155</v>
      </c>
      <c r="E95">
        <v>22.85</v>
      </c>
      <c r="M95" cm="1">
        <f t="array" ref="M95">_xll.BDH(B95,"PX_OPEN",A95,A95)</f>
        <v>22.85</v>
      </c>
      <c r="N95">
        <f t="shared" ref="N95:N98" si="3">ROUND($J$1*C95*$P$1/M95,0)</f>
        <v>341155</v>
      </c>
    </row>
    <row r="96" spans="1:14">
      <c r="A96" t="s">
        <v>46</v>
      </c>
      <c r="B96" t="s">
        <v>82</v>
      </c>
      <c r="C96">
        <v>-1</v>
      </c>
      <c r="D96">
        <v>-2286041</v>
      </c>
      <c r="E96">
        <v>3.41</v>
      </c>
      <c r="M96" cm="1">
        <f t="array" ref="M96">_xll.BDH(B96,"PX_OPEN",A96,A96)</f>
        <v>3.41</v>
      </c>
      <c r="N96">
        <f t="shared" si="3"/>
        <v>-2286041</v>
      </c>
    </row>
    <row r="97" spans="1:14">
      <c r="A97" t="s">
        <v>46</v>
      </c>
      <c r="B97" t="s">
        <v>53</v>
      </c>
      <c r="C97">
        <v>-1</v>
      </c>
      <c r="D97">
        <v>-211832</v>
      </c>
      <c r="E97">
        <v>36.799999999999997</v>
      </c>
      <c r="M97" cm="1">
        <f t="array" ref="M97">_xll.BDH(B97,"PX_OPEN",A97,A97)</f>
        <v>36.799999999999997</v>
      </c>
      <c r="N97">
        <f t="shared" si="3"/>
        <v>-211832</v>
      </c>
    </row>
    <row r="98" spans="1:14">
      <c r="A98" t="s">
        <v>46</v>
      </c>
      <c r="B98" t="s">
        <v>54</v>
      </c>
      <c r="C98">
        <v>-1</v>
      </c>
      <c r="D98">
        <v>-461266</v>
      </c>
      <c r="E98">
        <v>16.899999999999999</v>
      </c>
      <c r="M98" cm="1">
        <f t="array" ref="M98">_xll.BDH(B98,"PX_OPEN",A98,A98)</f>
        <v>16.899999999999999</v>
      </c>
      <c r="N98">
        <f t="shared" si="3"/>
        <v>-461266</v>
      </c>
    </row>
    <row r="99" spans="1:14">
      <c r="A99" t="s">
        <v>52</v>
      </c>
      <c r="B99" t="s">
        <v>72</v>
      </c>
      <c r="C99">
        <v>1</v>
      </c>
      <c r="D99">
        <v>541347</v>
      </c>
      <c r="E99">
        <v>14.4</v>
      </c>
      <c r="M99" cm="1">
        <f t="array" ref="M99">_xll.BDH(B99,"PX_OPEN",A99,A99)</f>
        <v>14.4</v>
      </c>
      <c r="N99">
        <f t="shared" ref="N99:N100" si="4">ROUND($J$1*C99*$P$1/M99,0)</f>
        <v>541347</v>
      </c>
    </row>
    <row r="100" spans="1:14">
      <c r="A100" t="s">
        <v>52</v>
      </c>
      <c r="B100" t="s">
        <v>82</v>
      </c>
      <c r="C100">
        <v>1</v>
      </c>
      <c r="D100">
        <v>2246513</v>
      </c>
      <c r="E100">
        <v>3.4699999999999998</v>
      </c>
      <c r="M100" cm="1">
        <f t="array" ref="M100">_xll.BDH(B100,"PX_OPEN",A100,A100)</f>
        <v>3.4699999999999998</v>
      </c>
      <c r="N100">
        <f t="shared" si="4"/>
        <v>2246513</v>
      </c>
    </row>
    <row r="103" spans="1:14">
      <c r="A103" t="s">
        <v>37</v>
      </c>
      <c r="B103" t="s">
        <v>83</v>
      </c>
      <c r="C103">
        <v>1</v>
      </c>
      <c r="D103">
        <v>364066</v>
      </c>
      <c r="E103">
        <v>17.510000000000002</v>
      </c>
      <c r="M103" cm="1">
        <f t="array" ref="M103">_xll.BDH(B103,"PX_LAST",A103,A103)</f>
        <v>17.510000000000002</v>
      </c>
      <c r="N103">
        <f>ROUND($J$1*C103*$S$1/M103,0)</f>
        <v>364066</v>
      </c>
    </row>
    <row r="104" spans="1:14">
      <c r="A104" t="s">
        <v>37</v>
      </c>
      <c r="B104" t="s">
        <v>84</v>
      </c>
      <c r="C104">
        <v>-1</v>
      </c>
      <c r="D104">
        <v>-93513</v>
      </c>
      <c r="E104">
        <v>68.17</v>
      </c>
      <c r="M104" cm="1">
        <f t="array" ref="M104">_xll.BDH(B104,"PX_LAST",A104,A104)</f>
        <v>68.17</v>
      </c>
      <c r="N104">
        <f t="shared" ref="N104:N126" si="5">ROUND($J$1*C104*$S$1/M104,0)</f>
        <v>-93513</v>
      </c>
    </row>
    <row r="105" spans="1:14">
      <c r="A105" t="s">
        <v>37</v>
      </c>
      <c r="B105" t="s">
        <v>85</v>
      </c>
      <c r="C105">
        <v>1</v>
      </c>
      <c r="D105">
        <v>27069</v>
      </c>
      <c r="E105">
        <v>235.5</v>
      </c>
      <c r="M105" cm="1">
        <f t="array" ref="M105">_xll.BDH(B105,"PX_LAST",A105,A105)</f>
        <v>235.5</v>
      </c>
      <c r="N105">
        <f t="shared" si="5"/>
        <v>27069</v>
      </c>
    </row>
    <row r="106" spans="1:14">
      <c r="A106" t="s">
        <v>37</v>
      </c>
      <c r="B106" t="s">
        <v>86</v>
      </c>
      <c r="C106">
        <v>-1</v>
      </c>
      <c r="D106">
        <v>-36251</v>
      </c>
      <c r="E106">
        <v>175.85</v>
      </c>
      <c r="M106" cm="1">
        <f t="array" ref="M106">_xll.BDH(B106,"PX_LAST",A106,A106)</f>
        <v>175.85</v>
      </c>
      <c r="N106">
        <f t="shared" si="5"/>
        <v>-36251</v>
      </c>
    </row>
    <row r="107" spans="1:14">
      <c r="A107" t="s">
        <v>37</v>
      </c>
      <c r="B107" t="s">
        <v>87</v>
      </c>
      <c r="C107">
        <v>-1</v>
      </c>
      <c r="D107">
        <v>-640040</v>
      </c>
      <c r="E107">
        <v>9.9600000000000009</v>
      </c>
      <c r="M107" cm="1">
        <f t="array" ref="M107">_xll.BDH(B107,"PX_LAST",A107,A107)</f>
        <v>9.9600000000000009</v>
      </c>
      <c r="N107">
        <f t="shared" si="5"/>
        <v>-640040</v>
      </c>
    </row>
    <row r="108" spans="1:14">
      <c r="A108" t="s">
        <v>37</v>
      </c>
      <c r="B108" t="s">
        <v>88</v>
      </c>
      <c r="C108">
        <v>-1</v>
      </c>
      <c r="D108">
        <v>-1570148</v>
      </c>
      <c r="E108">
        <v>4.0599999999999996</v>
      </c>
      <c r="M108" cm="1">
        <f t="array" ref="M108">_xll.BDH(B108,"PX_LAST",A108,A108)</f>
        <v>4.0599999999999996</v>
      </c>
      <c r="N108">
        <f t="shared" si="5"/>
        <v>-1570148</v>
      </c>
    </row>
    <row r="109" spans="1:14">
      <c r="A109" t="s">
        <v>37</v>
      </c>
      <c r="B109" t="s">
        <v>89</v>
      </c>
      <c r="C109">
        <v>-1</v>
      </c>
      <c r="D109">
        <v>-127957</v>
      </c>
      <c r="E109">
        <v>49.82</v>
      </c>
      <c r="M109" cm="1">
        <f t="array" ref="M109">_xll.BDH(B109,"PX_LAST",A109,A109)</f>
        <v>49.82</v>
      </c>
      <c r="N109">
        <f t="shared" si="5"/>
        <v>-127957</v>
      </c>
    </row>
    <row r="110" spans="1:14">
      <c r="A110" t="s">
        <v>37</v>
      </c>
      <c r="B110" t="s">
        <v>90</v>
      </c>
      <c r="C110">
        <v>1</v>
      </c>
      <c r="D110">
        <v>317312</v>
      </c>
      <c r="E110">
        <v>20.09</v>
      </c>
      <c r="M110" cm="1">
        <f t="array" ref="M110">_xll.BDH(B110,"PX_LAST",A110,A110)</f>
        <v>20.09</v>
      </c>
      <c r="N110">
        <f t="shared" si="5"/>
        <v>317312</v>
      </c>
    </row>
    <row r="111" spans="1:14">
      <c r="A111" t="s">
        <v>37</v>
      </c>
      <c r="B111" t="s">
        <v>91</v>
      </c>
      <c r="C111">
        <v>1</v>
      </c>
      <c r="D111">
        <v>124776</v>
      </c>
      <c r="E111">
        <v>51.09</v>
      </c>
      <c r="M111" cm="1">
        <f t="array" ref="M111">_xll.BDH(B111,"PX_LAST",A111,A111)</f>
        <v>51.09</v>
      </c>
      <c r="N111">
        <f t="shared" si="5"/>
        <v>124776</v>
      </c>
    </row>
    <row r="112" spans="1:14">
      <c r="A112" t="s">
        <v>37</v>
      </c>
      <c r="B112" t="s">
        <v>92</v>
      </c>
      <c r="C112">
        <v>-1</v>
      </c>
      <c r="D112">
        <v>-67103</v>
      </c>
      <c r="E112">
        <v>95</v>
      </c>
      <c r="M112" cm="1">
        <f t="array" ref="M112">_xll.BDH(B112,"PX_LAST",A112,A112)</f>
        <v>95</v>
      </c>
      <c r="N112">
        <f t="shared" si="5"/>
        <v>-67103</v>
      </c>
    </row>
    <row r="113" spans="1:14">
      <c r="A113" t="s">
        <v>37</v>
      </c>
      <c r="B113" t="s">
        <v>93</v>
      </c>
      <c r="C113">
        <v>-1</v>
      </c>
      <c r="D113">
        <v>-301552</v>
      </c>
      <c r="E113">
        <v>21.14</v>
      </c>
      <c r="M113" cm="1">
        <f t="array" ref="M113">_xll.BDH(B113,"PX_LAST",A113,A113)</f>
        <v>21.14</v>
      </c>
      <c r="N113">
        <f t="shared" si="5"/>
        <v>-301552</v>
      </c>
    </row>
    <row r="114" spans="1:14">
      <c r="A114" t="s">
        <v>37</v>
      </c>
      <c r="B114" t="s">
        <v>94</v>
      </c>
      <c r="C114">
        <v>1</v>
      </c>
      <c r="D114">
        <v>20231</v>
      </c>
      <c r="E114">
        <v>315.10000000000002</v>
      </c>
      <c r="M114" cm="1">
        <f t="array" ref="M114">_xll.BDH(B114,"PX_LAST",A114,A114)</f>
        <v>315.10000000000002</v>
      </c>
      <c r="N114">
        <f t="shared" si="5"/>
        <v>20231</v>
      </c>
    </row>
    <row r="115" spans="1:14">
      <c r="A115" t="s">
        <v>37</v>
      </c>
      <c r="B115" t="s">
        <v>95</v>
      </c>
      <c r="C115">
        <v>-1</v>
      </c>
      <c r="D115">
        <v>-160413</v>
      </c>
      <c r="E115">
        <v>39.74</v>
      </c>
      <c r="M115" cm="1">
        <f t="array" ref="M115">_xll.BDH(B115,"PX_LAST",A115,A115)</f>
        <v>39.74</v>
      </c>
      <c r="N115">
        <f t="shared" si="5"/>
        <v>-160413</v>
      </c>
    </row>
    <row r="116" spans="1:14">
      <c r="A116" t="s">
        <v>37</v>
      </c>
      <c r="B116" t="s">
        <v>96</v>
      </c>
      <c r="C116">
        <v>-1</v>
      </c>
      <c r="D116">
        <v>-72449</v>
      </c>
      <c r="E116">
        <v>87.99</v>
      </c>
      <c r="M116" cm="1">
        <f t="array" ref="M116">_xll.BDH(B116,"PX_LAST",A116,A116)</f>
        <v>87.99</v>
      </c>
      <c r="N116">
        <f t="shared" si="5"/>
        <v>-72449</v>
      </c>
    </row>
    <row r="117" spans="1:14">
      <c r="A117" t="s">
        <v>37</v>
      </c>
      <c r="B117" t="s">
        <v>97</v>
      </c>
      <c r="C117">
        <v>-1</v>
      </c>
      <c r="D117">
        <v>-580583</v>
      </c>
      <c r="E117">
        <v>10.98</v>
      </c>
      <c r="M117" cm="1">
        <f t="array" ref="M117">_xll.BDH(B117,"PX_LAST",A117,A117)</f>
        <v>10.98</v>
      </c>
      <c r="N117">
        <f t="shared" si="5"/>
        <v>-580583</v>
      </c>
    </row>
    <row r="118" spans="1:14">
      <c r="A118" t="s">
        <v>37</v>
      </c>
      <c r="B118" t="s">
        <v>98</v>
      </c>
      <c r="C118">
        <v>-1</v>
      </c>
      <c r="D118">
        <v>-352784</v>
      </c>
      <c r="E118">
        <v>18.07</v>
      </c>
      <c r="M118" cm="1">
        <f t="array" ref="M118">_xll.BDH(B118,"PX_LAST",A118,A118)</f>
        <v>18.07</v>
      </c>
      <c r="N118">
        <f t="shared" si="5"/>
        <v>-352784</v>
      </c>
    </row>
    <row r="119" spans="1:14">
      <c r="A119" t="s">
        <v>37</v>
      </c>
      <c r="B119" t="s">
        <v>99</v>
      </c>
      <c r="C119">
        <v>-1</v>
      </c>
      <c r="D119">
        <v>-131007</v>
      </c>
      <c r="E119">
        <v>48.66</v>
      </c>
      <c r="M119" cm="1">
        <f t="array" ref="M119">_xll.BDH(B119,"PX_LAST",A119,A119)</f>
        <v>48.66</v>
      </c>
      <c r="N119">
        <f t="shared" si="5"/>
        <v>-131007</v>
      </c>
    </row>
    <row r="120" spans="1:14">
      <c r="A120" t="s">
        <v>37</v>
      </c>
      <c r="B120" t="s">
        <v>100</v>
      </c>
      <c r="C120">
        <v>1</v>
      </c>
      <c r="D120">
        <v>1391878</v>
      </c>
      <c r="E120">
        <v>4.58</v>
      </c>
      <c r="M120" cm="1">
        <f t="array" ref="M120">_xll.BDH(B120,"PX_LAST",A120,A120)</f>
        <v>4.58</v>
      </c>
      <c r="N120">
        <f t="shared" si="5"/>
        <v>1391878</v>
      </c>
    </row>
    <row r="121" spans="1:14">
      <c r="A121" t="s">
        <v>37</v>
      </c>
      <c r="B121" t="s">
        <v>101</v>
      </c>
      <c r="C121">
        <v>1</v>
      </c>
      <c r="D121">
        <v>221194</v>
      </c>
      <c r="E121">
        <v>28.82</v>
      </c>
      <c r="M121" cm="1">
        <f t="array" ref="M121">_xll.BDH(B121,"PX_LAST",A121,A121)</f>
        <v>28.82</v>
      </c>
      <c r="N121">
        <f t="shared" si="5"/>
        <v>221194</v>
      </c>
    </row>
    <row r="122" spans="1:14">
      <c r="A122" t="s">
        <v>37</v>
      </c>
      <c r="B122" t="s">
        <v>102</v>
      </c>
      <c r="C122">
        <v>1</v>
      </c>
      <c r="D122">
        <v>1344895</v>
      </c>
      <c r="E122">
        <v>4.74</v>
      </c>
      <c r="M122" cm="1">
        <f t="array" ref="M122">_xll.BDH(B122,"PX_LAST",A122,A122)</f>
        <v>4.74</v>
      </c>
      <c r="N122">
        <f t="shared" si="5"/>
        <v>1344895</v>
      </c>
    </row>
    <row r="123" spans="1:14">
      <c r="A123" t="s">
        <v>37</v>
      </c>
      <c r="B123" t="s">
        <v>103</v>
      </c>
      <c r="C123">
        <v>-1</v>
      </c>
      <c r="D123">
        <v>-1404141</v>
      </c>
      <c r="E123">
        <v>4.54</v>
      </c>
      <c r="M123" cm="1">
        <f t="array" ref="M123">_xll.BDH(B123,"PX_LAST",A123,A123)</f>
        <v>4.54</v>
      </c>
      <c r="N123">
        <f t="shared" si="5"/>
        <v>-1404141</v>
      </c>
    </row>
    <row r="124" spans="1:14">
      <c r="A124" t="s">
        <v>37</v>
      </c>
      <c r="B124" t="s">
        <v>104</v>
      </c>
      <c r="C124">
        <v>1</v>
      </c>
      <c r="D124">
        <v>44579</v>
      </c>
      <c r="E124">
        <v>143</v>
      </c>
      <c r="M124" cm="1">
        <f t="array" ref="M124">_xll.BDH(B124,"PX_LAST",A124,A124)</f>
        <v>143</v>
      </c>
      <c r="N124">
        <f t="shared" si="5"/>
        <v>44579</v>
      </c>
    </row>
    <row r="125" spans="1:14">
      <c r="A125" t="s">
        <v>37</v>
      </c>
      <c r="B125" t="s">
        <v>105</v>
      </c>
      <c r="C125">
        <v>-1</v>
      </c>
      <c r="D125">
        <v>-56166</v>
      </c>
      <c r="E125">
        <v>113.5</v>
      </c>
      <c r="M125" cm="1">
        <f t="array" ref="M125">_xll.BDH(B125,"PX_LAST",A125,A125)</f>
        <v>113.5</v>
      </c>
      <c r="N125">
        <f t="shared" si="5"/>
        <v>-56166</v>
      </c>
    </row>
    <row r="126" spans="1:14">
      <c r="A126" t="s">
        <v>45</v>
      </c>
      <c r="B126" t="s">
        <v>107</v>
      </c>
      <c r="C126">
        <v>-1</v>
      </c>
      <c r="D126">
        <v>-28584</v>
      </c>
      <c r="E126">
        <v>223.02</v>
      </c>
      <c r="M126" cm="1">
        <f t="array" ref="M126">_xll.BDH(B126,"PX_OPEN",A126,A126)</f>
        <v>223.02</v>
      </c>
      <c r="N126">
        <f t="shared" si="5"/>
        <v>-28584</v>
      </c>
    </row>
    <row r="127" spans="1:14">
      <c r="A127" t="s">
        <v>45</v>
      </c>
      <c r="B127" t="s">
        <v>108</v>
      </c>
      <c r="C127">
        <v>-1</v>
      </c>
      <c r="D127">
        <v>-9375</v>
      </c>
      <c r="E127">
        <v>680</v>
      </c>
      <c r="M127" cm="1">
        <f t="array" ref="M127">_xll.BDH(B127,"PX_OPEN",A127,A127)</f>
        <v>680</v>
      </c>
      <c r="N127">
        <f t="shared" ref="N127:N130" si="6">ROUND($J$1*C127*$S$1/M127,0)</f>
        <v>-9375</v>
      </c>
    </row>
    <row r="128" spans="1:14">
      <c r="A128" t="s">
        <v>45</v>
      </c>
      <c r="B128" t="s">
        <v>88</v>
      </c>
      <c r="C128">
        <v>1</v>
      </c>
      <c r="D128">
        <v>1577921</v>
      </c>
      <c r="E128">
        <v>4.04</v>
      </c>
      <c r="M128" cm="1">
        <f t="array" ref="M128">_xll.BDH(B128,"PX_OPEN",A128,A128)</f>
        <v>4.04</v>
      </c>
      <c r="N128">
        <f t="shared" si="6"/>
        <v>1577921</v>
      </c>
    </row>
    <row r="129" spans="1:14">
      <c r="A129" t="s">
        <v>45</v>
      </c>
      <c r="B129" t="s">
        <v>109</v>
      </c>
      <c r="C129">
        <v>1</v>
      </c>
      <c r="D129">
        <v>228487</v>
      </c>
      <c r="E129">
        <v>27.9</v>
      </c>
      <c r="M129" cm="1">
        <f t="array" ref="M129">_xll.BDH(B129,"PX_OPEN",A129,A129)</f>
        <v>27.9</v>
      </c>
      <c r="N129">
        <f t="shared" si="6"/>
        <v>228487</v>
      </c>
    </row>
    <row r="130" spans="1:14">
      <c r="A130" t="s">
        <v>45</v>
      </c>
      <c r="B130" t="s">
        <v>110</v>
      </c>
      <c r="C130">
        <v>1</v>
      </c>
      <c r="D130">
        <v>1394923</v>
      </c>
      <c r="E130">
        <v>4.57</v>
      </c>
      <c r="M130" cm="1">
        <f t="array" ref="M130">_xll.BDH(B130,"PX_OPEN",A130,A130)</f>
        <v>4.57</v>
      </c>
      <c r="N130">
        <f t="shared" si="6"/>
        <v>1394923</v>
      </c>
    </row>
    <row r="131" spans="1:14">
      <c r="A131" t="s">
        <v>52</v>
      </c>
      <c r="B131" t="s">
        <v>84</v>
      </c>
      <c r="C131">
        <v>1</v>
      </c>
      <c r="D131">
        <v>94149</v>
      </c>
      <c r="E131">
        <v>67.709999999999994</v>
      </c>
      <c r="M131" cm="1">
        <f t="array" ref="M131">_xll.BDH(B131,"PX_OPEN",A131,A131)</f>
        <v>67.709999999999994</v>
      </c>
      <c r="N131">
        <f t="shared" ref="N131:N134" si="7">ROUND($J$1*C131*$S$1/M131,0)</f>
        <v>94149</v>
      </c>
    </row>
    <row r="132" spans="1:14">
      <c r="A132" t="s">
        <v>52</v>
      </c>
      <c r="B132" t="s">
        <v>107</v>
      </c>
      <c r="C132">
        <v>1</v>
      </c>
      <c r="D132">
        <v>28523</v>
      </c>
      <c r="E132">
        <v>223.5</v>
      </c>
      <c r="M132" cm="1">
        <f t="array" ref="M132">_xll.BDH(B132,"PX_OPEN",A132,A132)</f>
        <v>223.5</v>
      </c>
      <c r="N132">
        <f t="shared" si="7"/>
        <v>28523</v>
      </c>
    </row>
    <row r="133" spans="1:14">
      <c r="A133" t="s">
        <v>52</v>
      </c>
      <c r="B133" t="s">
        <v>111</v>
      </c>
      <c r="C133">
        <v>-1</v>
      </c>
      <c r="D133">
        <v>-105771</v>
      </c>
      <c r="E133">
        <v>60.27</v>
      </c>
      <c r="M133" cm="1">
        <f t="array" ref="M133">_xll.BDH(B133,"PX_OPEN",A133,A133)</f>
        <v>60.27</v>
      </c>
      <c r="N133">
        <f t="shared" si="7"/>
        <v>-105771</v>
      </c>
    </row>
    <row r="134" spans="1:14">
      <c r="A134" t="s">
        <v>52</v>
      </c>
      <c r="B134" t="s">
        <v>101</v>
      </c>
      <c r="C134">
        <v>-1</v>
      </c>
      <c r="D134">
        <v>-218615</v>
      </c>
      <c r="E134">
        <v>29.16</v>
      </c>
      <c r="M134" cm="1">
        <f t="array" ref="M134">_xll.BDH(B134,"PX_OPEN",A134,A134)</f>
        <v>29.16</v>
      </c>
      <c r="N134">
        <f t="shared" si="7"/>
        <v>-218615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2021-12-05T08:17:35Z</dcterms:created>
  <dcterms:modified xsi:type="dcterms:W3CDTF">2021-12-05T08:50:04Z</dcterms:modified>
</cp:coreProperties>
</file>